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ficial" sheetId="1" r:id="rId5"/>
  </sheets>
  <definedNames/>
  <calcPr/>
</workbook>
</file>

<file path=xl/sharedStrings.xml><?xml version="1.0" encoding="utf-8"?>
<sst xmlns="http://schemas.openxmlformats.org/spreadsheetml/2006/main" count="1" uniqueCount="1">
  <si>
    <t>CONVOCATORIAS DISPONIBLES PARA PRÁCTICAS Y PASANTÍAS 
PROYECCIÓN SOCIAL Y RELACIONES INTERINSTITUCIONALES E INTERNACIONALES 
UNIVERSIDAD ECCI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</si>
</sst>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font>
      <color theme="1"/>
      <name val="Arial"/>
      <scheme val="minor"/>
    </font>
    <font>
      <b/>
      <color theme="1"/>
      <name val="Arial"/>
      <scheme val="minor"/>
    </font>
  </fonts>
  <fills count="3">
    <fill>
      <patternFill patternType="none"/>
    </fill>
    <fill>
      <patternFill patternType="lightGray"/>
    </fill>
    <fill>
      <patternFill patternType="solid">
        <fgColor rgb="FF9FC5E8"/>
        <bgColor rgb="FF9FC5E8"/>
      </patternFill>
    </fill>
  </fills>
  <borders count="4">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2" fillId="0" fontId="2" numFmtId="0" xfId="0" applyBorder="1" applyFont="1"/>
    <xf borderId="0" fillId="0" fontId="3" numFmtId="0" xfId="0" applyAlignment="1" applyFont="1">
      <alignment horizontal="center"/>
    </xf>
    <xf borderId="3" fillId="2" fontId="4" numFmtId="0" xfId="0" applyAlignment="1" applyBorder="1" applyFill="1" applyFont="1">
      <alignment horizontal="center" shrinkToFit="0" vertical="center" wrapText="1"/>
    </xf>
    <xf borderId="0" fillId="0" fontId="3" numFmtId="0" xfId="0" applyAlignment="1" applyFont="1">
      <alignment horizontal="center" shrinkToFit="0" wrapText="1"/>
    </xf>
    <xf borderId="3" fillId="0" fontId="3" numFmtId="0" xfId="0" applyAlignment="1" applyBorder="1" applyFont="1">
      <alignment horizontal="center" shrinkToFit="0" vertical="center" wrapText="1"/>
    </xf>
    <xf borderId="3" fillId="0" fontId="3" numFmtId="0" xfId="0" applyAlignment="1" applyBorder="1" applyFont="1">
      <alignment horizontal="center" vertical="center"/>
    </xf>
    <xf borderId="3" fillId="0" fontId="3" numFmtId="14"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88"/>
    <col customWidth="1" min="2" max="2" width="23.25"/>
    <col customWidth="1" min="3" max="3" width="28.5"/>
    <col customWidth="1" min="4" max="4" width="52.5"/>
    <col customWidth="1" min="5" max="5" width="15.13"/>
    <col customWidth="1" min="6" max="6" width="21.25"/>
    <col customWidth="1" min="7" max="7" width="35.0"/>
    <col customWidth="1" min="9" max="9" width="23.0"/>
    <col customWidth="1" min="10" max="10" width="23.38"/>
    <col customWidth="1" min="11" max="11" width="37.75"/>
  </cols>
  <sheetData>
    <row r="1">
      <c r="A1" s="1" t="s">
        <v>0</v>
      </c>
      <c r="B1" s="2"/>
      <c r="C1" s="2"/>
      <c r="D1" s="2"/>
      <c r="E1" s="2"/>
      <c r="F1" s="2"/>
      <c r="G1" s="2"/>
      <c r="H1" s="2"/>
      <c r="I1" s="2"/>
      <c r="J1" s="2"/>
      <c r="K1" s="2"/>
      <c r="L1" s="3"/>
      <c r="M1" s="3"/>
      <c r="N1" s="3"/>
      <c r="O1" s="3"/>
      <c r="P1" s="3"/>
      <c r="Q1" s="3"/>
      <c r="R1" s="3"/>
      <c r="S1" s="3"/>
      <c r="T1" s="3"/>
      <c r="U1" s="3"/>
      <c r="V1" s="3"/>
      <c r="W1" s="3"/>
      <c r="X1" s="3"/>
      <c r="Y1" s="3"/>
    </row>
    <row r="2">
      <c r="A2" s="4" t="str">
        <f>IFERROR(__xludf.DUMMYFUNCTION("query({IMPORTRANGE(""1AJfoPCfhefqNtlP_nuJyr_AcbO2iRrdBjSs_Xx67GCo"",""Respuestas de formulario 1!A:S"")},""SELECT upper(Col4),Col10,Col11,Col12,Col13,Col14,Col15,Col16,Col17,Col18,Col2 Where Col1&gt; date '2023-12-31' AND Col18 &gt;= date '""&amp;YEAR(TODAY())&amp;""-"&amp;"""&amp;MONTH(TODAY())&amp;""-""&amp;DAY(TODAY())&amp;""' label upper(Col4) 'Nombre Empresa'"",1)"),"Nombre Empresa")</f>
        <v>Nombre Empresa</v>
      </c>
      <c r="B2" s="4" t="str">
        <f>IFERROR(__xludf.DUMMYFUNCTION("""COMPUTED_VALUE"""),"Las vacantes disponibles son para ")</f>
        <v>Las vacantes disponibles son para </v>
      </c>
      <c r="C2" s="4" t="str">
        <f>IFERROR(__xludf.DUMMYFUNCTION("""COMPUTED_VALUE"""),"¿Qué perfil es de interés para la Empresa?  ")</f>
        <v>¿Qué perfil es de interés para la Empresa?  </v>
      </c>
      <c r="D2" s="4" t="str">
        <f>IFERROR(__xludf.DUMMYFUNCTION("""COMPUTED_VALUE"""),"Por favor realice una descripción general de la vacante")</f>
        <v>Por favor realice una descripción general de la vacante</v>
      </c>
      <c r="E2" s="4" t="str">
        <f>IFERROR(__xludf.DUMMYFUNCTION("""COMPUTED_VALUE"""),"¿La empresa maneja programa de inclusión?")</f>
        <v>¿La empresa maneja programa de inclusión?</v>
      </c>
      <c r="F2" s="4" t="str">
        <f>IFERROR(__xludf.DUMMYFUNCTION("""COMPUTED_VALUE"""),"Ciudad de la convocatoria")</f>
        <v>Ciudad de la convocatoria</v>
      </c>
      <c r="G2" s="4" t="str">
        <f>IFERROR(__xludf.DUMMYFUNCTION("""COMPUTED_VALUE"""),"¿Qué perfil es de interés para la Empresa?  ")</f>
        <v>¿Qué perfil es de interés para la Empresa?  </v>
      </c>
      <c r="H2" s="4" t="str">
        <f>IFERROR(__xludf.DUMMYFUNCTION("""COMPUTED_VALUE"""),"Rango salarial de la vacante")</f>
        <v>Rango salarial de la vacante</v>
      </c>
      <c r="I2" s="4" t="str">
        <f>IFERROR(__xludf.DUMMYFUNCTION("""COMPUTED_VALUE"""),"Fecha inicial de envió de hojas de vida por parte de los estudiantes")</f>
        <v>Fecha inicial de envió de hojas de vida por parte de los estudiantes</v>
      </c>
      <c r="J2" s="4" t="str">
        <f>IFERROR(__xludf.DUMMYFUNCTION("""COMPUTED_VALUE"""),"Fecha límite de envió de hojas de vida por parte de los estudiantes   ")</f>
        <v>Fecha límite de envió de hojas de vida por parte de los estudiantes   </v>
      </c>
      <c r="K2" s="4" t="str">
        <f>IFERROR(__xludf.DUMMYFUNCTION("""COMPUTED_VALUE"""),"Dirección de correo electrónico")</f>
        <v>Dirección de correo electrónico</v>
      </c>
      <c r="L2" s="5"/>
      <c r="M2" s="5"/>
      <c r="N2" s="5"/>
      <c r="O2" s="5"/>
      <c r="P2" s="5"/>
      <c r="Q2" s="5"/>
      <c r="R2" s="5"/>
      <c r="S2" s="5"/>
      <c r="T2" s="5"/>
      <c r="U2" s="5"/>
      <c r="V2" s="5"/>
      <c r="W2" s="5"/>
      <c r="X2" s="5"/>
      <c r="Y2" s="5"/>
    </row>
    <row r="3">
      <c r="A3" s="6" t="str">
        <f>IFERROR(__xludf.DUMMYFUNCTION("""COMPUTED_VALUE"""),"RCN TV")</f>
        <v>RCN TV</v>
      </c>
      <c r="B3" s="6" t="str">
        <f>IFERROR(__xludf.DUMMYFUNCTION("""COMPUTED_VALUE"""),"Ciclo tecnológico, Ciclo profesional")</f>
        <v>Ciclo tecnológico, Ciclo profesional</v>
      </c>
      <c r="C3" s="6" t="str">
        <f>IFERROR(__xludf.DUMMYFUNCTION("""COMPUTED_VALUE"""),"Tecnología en Mercadeo y Diseño Publicitario, Tecnología en Gestión Contable, Tecnología en Gestión de Comercio Exterior, Tecnología en Desarrollo Informático, Tecnología en Gestión Ambiental")</f>
        <v>Tecnología en Mercadeo y Diseño Publicitario, Tecnología en Gestión Contable, Tecnología en Gestión de Comercio Exterior, Tecnología en Desarrollo Informático, Tecnología en Gestión Ambiental</v>
      </c>
      <c r="D3" s="6" t="str">
        <f>IFERROR(__xludf.DUMMYFUNCTION("""COMPUTED_VALUE"""),"RCN Televisión requiere para su equipo de trabajo aprendices y practicantes, hombres y mujeres, para apoyar diferentes áreas con enfoque audiovisual y administrativo.
Buscamos estudiantes técnicos, tecnólogos o profesionales que se encuentren habilitados"&amp;" para iniciar su etapa práctica mediante contrato de aprendizaje.
Las vacantes cuentan con participación en procesos y funciones relacionadas con áreas audiovisuales, administrativas, producción, mercadeo, talento humano, comunicaciones, tecnología, entr"&amp;"e otras, de acuerdo con el perfil académico del estudiante.
Modalidad: Presencial- Lunes a viernes
Tipo de contrato: Contrato de aprendizaje
Lugar de trabajo: Bogotá")</f>
        <v>RCN Televisión requiere para su equipo de trabajo aprendices y practicantes, hombres y mujeres, para apoyar diferentes áreas con enfoque audiovisual y administrativo.
Buscamos estudiantes técnicos, tecnólogos o profesionales que se encuentren habilitados para iniciar su etapa práctica mediante contrato de aprendizaje.
Las vacantes cuentan con participación en procesos y funciones relacionadas con áreas audiovisuales, administrativas, producción, mercadeo, talento humano, comunicaciones, tecnología, entre otras, de acuerdo con el perfil académico del estudiante.
Modalidad: Presencial- Lunes a viernes
Tipo de contrato: Contrato de aprendizaje
Lugar de trabajo: Bogotá</v>
      </c>
      <c r="E3" s="7" t="str">
        <f>IFERROR(__xludf.DUMMYFUNCTION("""COMPUTED_VALUE"""),"Si")</f>
        <v>Si</v>
      </c>
      <c r="F3" s="6" t="str">
        <f>IFERROR(__xludf.DUMMYFUNCTION("""COMPUTED_VALUE"""),"Bogotá (Chia, Cota, Sopó, Cajicá y alrededores)")</f>
        <v>Bogotá (Chia, Cota, Sopó, Cajicá y alrededores)</v>
      </c>
      <c r="G3" s="6" t="str">
        <f>IFERROR(__xludf.DUMMYFUNCTION("""COMPUTED_VALUE"""),"Profesional en Entrenamiento Deportivo, Mercadeo y Publicidad, Contaduría Pública, Derecho, Ingeniería de Sistemas")</f>
        <v>Profesional en Entrenamiento Deportivo, Mercadeo y Publicidad, Contaduría Pública, Derecho, Ingeniería de Sistemas</v>
      </c>
      <c r="H3" s="6" t="str">
        <f>IFERROR(__xludf.DUMMYFUNCTION("""COMPUTED_VALUE"""),"1 SMMLV")</f>
        <v>1 SMMLV</v>
      </c>
      <c r="I3" s="8">
        <f>IFERROR(__xludf.DUMMYFUNCTION("""COMPUTED_VALUE"""),46169.0)</f>
        <v>46169</v>
      </c>
      <c r="J3" s="8">
        <f>IFERROR(__xludf.DUMMYFUNCTION("""COMPUTED_VALUE"""),46304.0)</f>
        <v>46304</v>
      </c>
      <c r="K3" s="7" t="str">
        <f>IFERROR(__xludf.DUMMYFUNCTION("""COMPUTED_VALUE"""),"bgalindo@rcntv.com")</f>
        <v>bgalindo@rcntv.com</v>
      </c>
      <c r="L3" s="3"/>
      <c r="M3" s="3"/>
      <c r="N3" s="3"/>
      <c r="O3" s="3"/>
      <c r="P3" s="3"/>
      <c r="Q3" s="3"/>
      <c r="R3" s="3"/>
      <c r="S3" s="3"/>
      <c r="T3" s="3"/>
      <c r="U3" s="3"/>
      <c r="V3" s="3"/>
      <c r="W3" s="3"/>
      <c r="X3" s="3"/>
      <c r="Y3" s="3"/>
    </row>
    <row r="4">
      <c r="A4" s="6" t="str">
        <f>IFERROR(__xludf.DUMMYFUNCTION("""COMPUTED_VALUE"""),"CLINICA DEL OCCIDENTE S.A.")</f>
        <v>CLINICA DEL OCCIDENTE S.A.</v>
      </c>
      <c r="B4" s="6" t="str">
        <f>IFERROR(__xludf.DUMMYFUNCTION("""COMPUTED_VALUE"""),"Ciclo tecnológico, Ciclo profesional")</f>
        <v>Ciclo tecnológico, Ciclo profesional</v>
      </c>
      <c r="C4" s="6" t="str">
        <f>IFERROR(__xludf.DUMMYFUNCTION("""COMPUTED_VALUE"""),"Tecnología en Gestión de Procesos Industriales, Tecnología en Gestión Ambiental")</f>
        <v>Tecnología en Gestión de Procesos Industriales, Tecnología en Gestión Ambiental</v>
      </c>
      <c r="D4" s="6" t="str">
        <f>IFERROR(__xludf.DUMMYFUNCTION("""COMPUTED_VALUE"""),"Sector Salud")</f>
        <v>Sector Salud</v>
      </c>
      <c r="E4" s="7" t="str">
        <f>IFERROR(__xludf.DUMMYFUNCTION("""COMPUTED_VALUE"""),"Si")</f>
        <v>Si</v>
      </c>
      <c r="F4" s="6" t="str">
        <f>IFERROR(__xludf.DUMMYFUNCTION("""COMPUTED_VALUE"""),"Bogotá (Chia, Cota, Sopó, Cajicá y alrededores)")</f>
        <v>Bogotá (Chia, Cota, Sopó, Cajicá y alrededores)</v>
      </c>
      <c r="G4" s="6" t="str">
        <f>IFERROR(__xludf.DUMMYFUNCTION("""COMPUTED_VALUE"""),"Ingeniería Industrial, Ingeniería Ambiental")</f>
        <v>Ingeniería Industrial, Ingeniería Ambiental</v>
      </c>
      <c r="H4" s="6" t="str">
        <f>IFERROR(__xludf.DUMMYFUNCTION("""COMPUTED_VALUE"""),"Menos de 1 SMMLV")</f>
        <v>Menos de 1 SMMLV</v>
      </c>
      <c r="I4" s="8">
        <f>IFERROR(__xludf.DUMMYFUNCTION("""COMPUTED_VALUE"""),46182.0)</f>
        <v>46182</v>
      </c>
      <c r="J4" s="8">
        <f>IFERROR(__xludf.DUMMYFUNCTION("""COMPUTED_VALUE"""),47643.0)</f>
        <v>47643</v>
      </c>
      <c r="K4" s="7" t="str">
        <f>IFERROR(__xludf.DUMMYFUNCTION("""COMPUTED_VALUE"""),"gestionambiental@clinicadeloccidente.com")</f>
        <v>gestionambiental@clinicadeloccidente.com</v>
      </c>
      <c r="L4" s="3"/>
      <c r="M4" s="3"/>
      <c r="N4" s="3"/>
      <c r="O4" s="3"/>
      <c r="P4" s="3"/>
      <c r="Q4" s="3"/>
      <c r="R4" s="3"/>
      <c r="S4" s="3"/>
      <c r="T4" s="3"/>
      <c r="U4" s="3"/>
      <c r="V4" s="3"/>
      <c r="W4" s="3"/>
      <c r="X4" s="3"/>
      <c r="Y4" s="3"/>
    </row>
    <row r="5">
      <c r="A5" s="6" t="str">
        <f>IFERROR(__xludf.DUMMYFUNCTION("""COMPUTED_VALUE"""),"LABORATORIO CLÍNICO COLCAN ")</f>
        <v>LABORATORIO CLÍNICO COLCAN </v>
      </c>
      <c r="B5" s="6" t="str">
        <f>IFERROR(__xludf.DUMMYFUNCTION("""COMPUTED_VALUE"""),"Ciclo tecnológico")</f>
        <v>Ciclo tecnológico</v>
      </c>
      <c r="C5" s="6" t="str">
        <f>IFERROR(__xludf.DUMMYFUNCTION("""COMPUTED_VALUE"""),"Tecnología en Mantenimiento de Equipos Biomédicos")</f>
        <v>Tecnología en Mantenimiento de Equipos Biomédicos</v>
      </c>
      <c r="D5" s="6" t="str">
        <f>IFERROR(__xludf.DUMMYFUNCTION("""COMPUTED_VALUE"""),"Importante empresa del sector salud y tecnología se encuentra en búsqueda de estudiantes de la carrera tecnologa en mantenimiento de equipos biomédicos y/o estudiantes de la carrera profesional en Ingeniería biomédica, con el interés y aval para realizar "&amp;"sus prácticas este segundo semestre del 2026.
Contrato: Aprendizaje fijo a 6 meses o 1 año 
Salario: Mínimo + prestaciones de ley
Lugar de trabajo: Puente Aranda ")</f>
        <v>Importante empresa del sector salud y tecnología se encuentra en búsqueda de estudiantes de la carrera tecnologa en mantenimiento de equipos biomédicos y/o estudiantes de la carrera profesional en Ingeniería biomédica, con el interés y aval para realizar sus prácticas este segundo semestre del 2026.
Contrato: Aprendizaje fijo a 6 meses o 1 año 
Salario: Mínimo + prestaciones de ley
Lugar de trabajo: Puente Aranda </v>
      </c>
      <c r="E5" s="7" t="str">
        <f>IFERROR(__xludf.DUMMYFUNCTION("""COMPUTED_VALUE"""),"Si")</f>
        <v>Si</v>
      </c>
      <c r="F5" s="6" t="str">
        <f>IFERROR(__xludf.DUMMYFUNCTION("""COMPUTED_VALUE"""),"Bogotá (Chia, Cota, Sopó, Cajicá y alrededores)")</f>
        <v>Bogotá (Chia, Cota, Sopó, Cajicá y alrededores)</v>
      </c>
      <c r="G5" s="6" t="str">
        <f>IFERROR(__xludf.DUMMYFUNCTION("""COMPUTED_VALUE"""),"Ingeniería Biomédica")</f>
        <v>Ingeniería Biomédica</v>
      </c>
      <c r="H5" s="6" t="str">
        <f>IFERROR(__xludf.DUMMYFUNCTION("""COMPUTED_VALUE"""),"1 SMMLV")</f>
        <v>1 SMMLV</v>
      </c>
      <c r="I5" s="8">
        <f>IFERROR(__xludf.DUMMYFUNCTION("""COMPUTED_VALUE"""),46183.0)</f>
        <v>46183</v>
      </c>
      <c r="J5" s="8">
        <f>IFERROR(__xludf.DUMMYFUNCTION("""COMPUTED_VALUE"""),46295.0)</f>
        <v>46295</v>
      </c>
      <c r="K5" s="7" t="str">
        <f>IFERROR(__xludf.DUMMYFUNCTION("""COMPUTED_VALUE"""),"jenny.sanchez@laboratoriocolcan.com")</f>
        <v>jenny.sanchez@laboratoriocolcan.com</v>
      </c>
      <c r="L5" s="3"/>
      <c r="M5" s="3"/>
      <c r="N5" s="3"/>
      <c r="O5" s="3"/>
      <c r="P5" s="3"/>
      <c r="Q5" s="3"/>
      <c r="R5" s="3"/>
      <c r="S5" s="3"/>
      <c r="T5" s="3"/>
      <c r="U5" s="3"/>
      <c r="V5" s="3"/>
      <c r="W5" s="3"/>
      <c r="X5" s="3"/>
      <c r="Y5" s="3"/>
    </row>
    <row r="6">
      <c r="A6" s="6" t="str">
        <f>IFERROR(__xludf.DUMMYFUNCTION("""COMPUTED_VALUE"""),"IFX NETWORKS COLOMBIA S A S")</f>
        <v>IFX NETWORKS COLOMBIA S A S</v>
      </c>
      <c r="B6" s="6" t="str">
        <f>IFERROR(__xludf.DUMMYFUNCTION("""COMPUTED_VALUE"""),"Ciclo tecnológico")</f>
        <v>Ciclo tecnológico</v>
      </c>
      <c r="C6" s="6" t="str">
        <f>IFERROR(__xludf.DUMMYFUNCTION("""COMPUTED_VALUE"""),"Tecnología en Gestión de Comercio Exterior")</f>
        <v>Tecnología en Gestión de Comercio Exterior</v>
      </c>
      <c r="D6" s="6" t="str">
        <f>IFERROR(__xludf.DUMMYFUNCTION("""COMPUTED_VALUE"""),"🎯 Rol: Aprendiz Comercial
Misión del cargo:
Apoyar al área comercial en la trazabilidad de procesos, seguimiento y diligenciamiento de documentos requeridos para la gestión comercial, fortaleciendo habilidades en comunicación, análisis y gestión adminis"&amp;"trativa dentro del entorno empresarial.
📌 Funciones principales:
Apoyar la trazabilidad de los procesos comerciales.
Diligenciar documentos y formatos requeridos por el área.
Brindar soporte en la gestión y actualización de información de clientes y opo"&amp;"rtunidades.
Apoyar el seguimiento de cotizaciones, órdenes y entregas.
Colaborar con el equipo en la generación de reportes y control documental.
")</f>
        <v>🎯 Rol: Aprendiz Comercial
Misión del cargo:
Apoyar al área comercial en la trazabilidad de procesos, seguimiento y diligenciamiento de documentos requeridos para la gestión comercial, fortaleciendo habilidades en comunicación, análisis y gestión administrativa dentro del entorno empresarial.
📌 Funciones principales:
Apoyar la trazabilidad de los procesos comerciales.
Diligenciar documentos y formatos requeridos por el área.
Brindar soporte en la gestión y actualización de información de clientes y oportunidades.
Apoyar el seguimiento de cotizaciones, órdenes y entregas.
Colaborar con el equipo en la generación de reportes y control documental.
</v>
      </c>
      <c r="E6" s="7" t="str">
        <f>IFERROR(__xludf.DUMMYFUNCTION("""COMPUTED_VALUE"""),"Si")</f>
        <v>Si</v>
      </c>
      <c r="F6" s="6" t="str">
        <f>IFERROR(__xludf.DUMMYFUNCTION("""COMPUTED_VALUE"""),"Bogotá (Chia, Cota, Sopó, Cajicá y alrededores)")</f>
        <v>Bogotá (Chia, Cota, Sopó, Cajicá y alrededores)</v>
      </c>
      <c r="G6" s="6" t="str">
        <f>IFERROR(__xludf.DUMMYFUNCTION("""COMPUTED_VALUE"""),"Comercio Internacional, Administración de Empresas Virtual")</f>
        <v>Comercio Internacional, Administración de Empresas Virtual</v>
      </c>
      <c r="H6" s="6" t="str">
        <f>IFERROR(__xludf.DUMMYFUNCTION("""COMPUTED_VALUE"""),"1 SMMLV")</f>
        <v>1 SMMLV</v>
      </c>
      <c r="I6" s="8">
        <f>IFERROR(__xludf.DUMMYFUNCTION("""COMPUTED_VALUE"""),46190.0)</f>
        <v>46190</v>
      </c>
      <c r="J6" s="8">
        <f>IFERROR(__xludf.DUMMYFUNCTION("""COMPUTED_VALUE"""),46371.0)</f>
        <v>46371</v>
      </c>
      <c r="K6" s="7" t="str">
        <f>IFERROR(__xludf.DUMMYFUNCTION("""COMPUTED_VALUE"""),"jreal@ifxcorp.com")</f>
        <v>jreal@ifxcorp.com</v>
      </c>
      <c r="L6" s="3"/>
      <c r="M6" s="3"/>
      <c r="N6" s="3"/>
      <c r="O6" s="3"/>
      <c r="P6" s="3"/>
      <c r="Q6" s="3"/>
      <c r="R6" s="3"/>
      <c r="S6" s="3"/>
      <c r="T6" s="3"/>
      <c r="U6" s="3"/>
      <c r="V6" s="3"/>
      <c r="W6" s="3"/>
      <c r="X6" s="3"/>
      <c r="Y6" s="3"/>
    </row>
    <row r="7">
      <c r="A7" s="6" t="str">
        <f>IFERROR(__xludf.DUMMYFUNCTION("""COMPUTED_VALUE"""),"APPLUS NORCONTROL COLOMBIA LTDA")</f>
        <v>APPLUS NORCONTROL COLOMBIA LTDA</v>
      </c>
      <c r="B7" s="6" t="str">
        <f>IFERROR(__xludf.DUMMYFUNCTION("""COMPUTED_VALUE"""),"Ciclo tecnológico")</f>
        <v>Ciclo tecnológico</v>
      </c>
      <c r="C7" s="6" t="str">
        <f>IFERROR(__xludf.DUMMYFUNCTION("""COMPUTED_VALUE"""),"No aplica")</f>
        <v>No aplica</v>
      </c>
      <c r="D7" s="6" t="str">
        <f>IFERROR(__xludf.DUMMYFUNCTION("""COMPUTED_VALUE"""),"Empresa de hidrocarburos requiere para su equipo de trabajo hombre o mujer para desempeñar el cargo de Auxiliar Administrativo y Auxiliar de Diseño Grafico, por contrato de aprendizaje, horario de lunes a viernes de 7 am a 5 pm, lugar de trabajo Bogotá, b"&amp;"arrio San Felipe, cerca a ala estación de la calle 76. ")</f>
        <v>Empresa de hidrocarburos requiere para su equipo de trabajo hombre o mujer para desempeñar el cargo de Auxiliar Administrativo y Auxiliar de Diseño Grafico, por contrato de aprendizaje, horario de lunes a viernes de 7 am a 5 pm, lugar de trabajo Bogotá, barrio San Felipe, cerca a ala estación de la calle 76. </v>
      </c>
      <c r="E7" s="7" t="str">
        <f>IFERROR(__xludf.DUMMYFUNCTION("""COMPUTED_VALUE"""),"Si")</f>
        <v>Si</v>
      </c>
      <c r="F7" s="6" t="str">
        <f>IFERROR(__xludf.DUMMYFUNCTION("""COMPUTED_VALUE"""),"Bogotá (Chia, Cota, Sopó, Cajicá y alrededores)")</f>
        <v>Bogotá (Chia, Cota, Sopó, Cajicá y alrededores)</v>
      </c>
      <c r="G7" s="6" t="str">
        <f>IFERROR(__xludf.DUMMYFUNCTION("""COMPUTED_VALUE"""),"Mercadeo y Publicidad, Administración de Empresas Virtual, Lenguas Modernas")</f>
        <v>Mercadeo y Publicidad, Administración de Empresas Virtual, Lenguas Modernas</v>
      </c>
      <c r="H7" s="6" t="str">
        <f>IFERROR(__xludf.DUMMYFUNCTION("""COMPUTED_VALUE"""),"De 1 SMMLV a 2 SMMLV")</f>
        <v>De 1 SMMLV a 2 SMMLV</v>
      </c>
      <c r="I7" s="8">
        <f>IFERROR(__xludf.DUMMYFUNCTION("""COMPUTED_VALUE"""),46192.0)</f>
        <v>46192</v>
      </c>
      <c r="J7" s="8">
        <f>IFERROR(__xludf.DUMMYFUNCTION("""COMPUTED_VALUE"""),46387.0)</f>
        <v>46387</v>
      </c>
      <c r="K7" s="7" t="str">
        <f>IFERROR(__xludf.DUMMYFUNCTION("""COMPUTED_VALUE"""),"lina.pedraza@applus.com")</f>
        <v>lina.pedraza@applus.com</v>
      </c>
      <c r="L7" s="3"/>
      <c r="M7" s="3"/>
      <c r="N7" s="3"/>
      <c r="O7" s="3"/>
      <c r="P7" s="3"/>
      <c r="Q7" s="3"/>
      <c r="R7" s="3"/>
      <c r="S7" s="3"/>
      <c r="T7" s="3"/>
      <c r="U7" s="3"/>
      <c r="V7" s="3"/>
      <c r="W7" s="3"/>
      <c r="X7" s="3"/>
      <c r="Y7" s="3"/>
    </row>
    <row r="8">
      <c r="A8" s="6" t="str">
        <f>IFERROR(__xludf.DUMMYFUNCTION("""COMPUTED_VALUE"""),"APPLUS NORCONTROL COLOMBIA LTDA")</f>
        <v>APPLUS NORCONTROL COLOMBIA LTDA</v>
      </c>
      <c r="B8" s="6" t="str">
        <f>IFERROR(__xludf.DUMMYFUNCTION("""COMPUTED_VALUE"""),"Ciclo tecnológico")</f>
        <v>Ciclo tecnológico</v>
      </c>
      <c r="C8" s="6" t="str">
        <f>IFERROR(__xludf.DUMMYFUNCTION("""COMPUTED_VALUE"""),"No aplica")</f>
        <v>No aplica</v>
      </c>
      <c r="D8" s="6" t="str">
        <f>IFERROR(__xludf.DUMMYFUNCTION("""COMPUTED_VALUE"""),"Empresa de hidrocarburos requiere para su equipo de trabajo hombre o mujer para desempeñar el cargo de Auxiliar Administrativo y Auxiliar de Diseño Grafico, por contrato de aprendizaje, horario de lunes a viernes de 7 am a 5 pm, lugar de trabajo Bogotá, b"&amp;"arrio San Felipe, cerca de la estación de la calle 76.")</f>
        <v>Empresa de hidrocarburos requiere para su equipo de trabajo hombre o mujer para desempeñar el cargo de Auxiliar Administrativo y Auxiliar de Diseño Grafico, por contrato de aprendizaje, horario de lunes a viernes de 7 am a 5 pm, lugar de trabajo Bogotá, barrio San Felipe, cerca de la estación de la calle 76.</v>
      </c>
      <c r="E8" s="7" t="str">
        <f>IFERROR(__xludf.DUMMYFUNCTION("""COMPUTED_VALUE"""),"Si")</f>
        <v>Si</v>
      </c>
      <c r="F8" s="6" t="str">
        <f>IFERROR(__xludf.DUMMYFUNCTION("""COMPUTED_VALUE"""),"Pereira")</f>
        <v>Pereira</v>
      </c>
      <c r="G8" s="6" t="str">
        <f>IFERROR(__xludf.DUMMYFUNCTION("""COMPUTED_VALUE"""),"Administración de Empresas Virtual")</f>
        <v>Administración de Empresas Virtual</v>
      </c>
      <c r="H8" s="6" t="str">
        <f>IFERROR(__xludf.DUMMYFUNCTION("""COMPUTED_VALUE"""),"De 1 SMMLV a 2 SMMLV")</f>
        <v>De 1 SMMLV a 2 SMMLV</v>
      </c>
      <c r="I8" s="8">
        <f>IFERROR(__xludf.DUMMYFUNCTION("""COMPUTED_VALUE"""),46192.0)</f>
        <v>46192</v>
      </c>
      <c r="J8" s="8">
        <f>IFERROR(__xludf.DUMMYFUNCTION("""COMPUTED_VALUE"""),46387.0)</f>
        <v>46387</v>
      </c>
      <c r="K8" s="7" t="str">
        <f>IFERROR(__xludf.DUMMYFUNCTION("""COMPUTED_VALUE"""),"lina.pedraza@applus.com")</f>
        <v>lina.pedraza@applus.com</v>
      </c>
      <c r="L8" s="3"/>
      <c r="M8" s="3"/>
      <c r="N8" s="3"/>
      <c r="O8" s="3"/>
      <c r="P8" s="3"/>
      <c r="Q8" s="3"/>
      <c r="R8" s="3"/>
      <c r="S8" s="3"/>
      <c r="T8" s="3"/>
      <c r="U8" s="3"/>
      <c r="V8" s="3"/>
      <c r="W8" s="3"/>
      <c r="X8" s="3"/>
      <c r="Y8" s="3"/>
    </row>
    <row r="9">
      <c r="A9" s="6" t="str">
        <f>IFERROR(__xludf.DUMMYFUNCTION("""COMPUTED_VALUE"""),"MASTER DENTAL SAS")</f>
        <v>MASTER DENTAL SAS</v>
      </c>
      <c r="B9" s="6" t="str">
        <f>IFERROR(__xludf.DUMMYFUNCTION("""COMPUTED_VALUE"""),"Ciclo tecnológico, Ciclo profesional")</f>
        <v>Ciclo tecnológico, Ciclo profesional</v>
      </c>
      <c r="C9" s="6" t="str">
        <f>IFERROR(__xludf.DUMMYFUNCTION("""COMPUTED_VALUE"""),"Tecnología en Gestión Contable, Tecnología en Gestión de Procesos Industriales")</f>
        <v>Tecnología en Gestión Contable, Tecnología en Gestión de Procesos Industriales</v>
      </c>
      <c r="D9" s="6" t="str">
        <f>IFERROR(__xludf.DUMMYFUNCTION("""COMPUTED_VALUE"""),"Descripción de la vacante
Master Dental S.A.S., empresa del sector de dispositivos e insumos odontológicos, dedicada a la comercialización y distribución de productos para la salud oral, requiere para su equipo de trabajo aprendices para las áreas de Con"&amp;"tabilidad y Logística, con disposición para apoyar las actividades propias de cada proceso y fortalecer sus conocimientos durante la etapa práctica.
Cargo: Aprendiz.
Cantidad vacantes: tres (3) 
Tipo de contrato: Contrato de aprendizaje a termino fijo 
F"&amp;"unciones: Apoyar las actividades y funciones asignadas por el jefe inmediato, de acuerdo con el área de formación y las necesidades de la empresa.
Horario: Lunes a viernes, de 7:00 a. m. a 5:00 p. m., con la distribución de la jornada ajustada por el empl"&amp;"eador para no superar las 42 horas semanales, conforme a la reforma laboral vigente a partir del 15 de julio de 2026.
Lugar de trabajo: Cra. 13 #93-19 Bogotá DC ")</f>
        <v>Descripción de la vacante
Master Dental S.A.S., empresa del sector de dispositivos e insumos odontológicos, dedicada a la comercialización y distribución de productos para la salud oral, requiere para su equipo de trabajo aprendices para las áreas de Contabilidad y Logística, con disposición para apoyar las actividades propias de cada proceso y fortalecer sus conocimientos durante la etapa práctica.
Cargo: Aprendiz.
Cantidad vacantes: tres (3) 
Tipo de contrato: Contrato de aprendizaje a termino fijo 
Funciones: Apoyar las actividades y funciones asignadas por el jefe inmediato, de acuerdo con el área de formación y las necesidades de la empresa.
Horario: Lunes a viernes, de 7:00 a. m. a 5:00 p. m., con la distribución de la jornada ajustada por el empleador para no superar las 42 horas semanales, conforme a la reforma laboral vigente a partir del 15 de julio de 2026.
Lugar de trabajo: Cra. 13 #93-19 Bogotá DC </v>
      </c>
      <c r="E9" s="7" t="str">
        <f>IFERROR(__xludf.DUMMYFUNCTION("""COMPUTED_VALUE"""),"No")</f>
        <v>No</v>
      </c>
      <c r="F9" s="6" t="str">
        <f>IFERROR(__xludf.DUMMYFUNCTION("""COMPUTED_VALUE"""),"Bogotá (Chia, Cota, Sopó, Cajicá y alrededores)")</f>
        <v>Bogotá (Chia, Cota, Sopó, Cajicá y alrededores)</v>
      </c>
      <c r="G9" s="6" t="str">
        <f>IFERROR(__xludf.DUMMYFUNCTION("""COMPUTED_VALUE"""),"Contaduría Pública, Administración de Empresas Virtual, Ingeniería Industrial")</f>
        <v>Contaduría Pública, Administración de Empresas Virtual, Ingeniería Industrial</v>
      </c>
      <c r="H9" s="6" t="str">
        <f>IFERROR(__xludf.DUMMYFUNCTION("""COMPUTED_VALUE"""),"1 SMMLV")</f>
        <v>1 SMMLV</v>
      </c>
      <c r="I9" s="8">
        <f>IFERROR(__xludf.DUMMYFUNCTION("""COMPUTED_VALUE"""),46209.0)</f>
        <v>46209</v>
      </c>
      <c r="J9" s="8">
        <f>IFERROR(__xludf.DUMMYFUNCTION("""COMPUTED_VALUE"""),46367.0)</f>
        <v>46367</v>
      </c>
      <c r="K9" s="7" t="str">
        <f>IFERROR(__xludf.DUMMYFUNCTION("""COMPUTED_VALUE"""),"coordinadora.recursoshumanos@adin-implants.co")</f>
        <v>coordinadora.recursoshumanos@adin-implants.co</v>
      </c>
      <c r="L9" s="3"/>
      <c r="M9" s="3"/>
      <c r="N9" s="3"/>
      <c r="O9" s="3"/>
      <c r="P9" s="3"/>
      <c r="Q9" s="3"/>
      <c r="R9" s="3"/>
      <c r="S9" s="3"/>
      <c r="T9" s="3"/>
      <c r="U9" s="3"/>
      <c r="V9" s="3"/>
      <c r="W9" s="3"/>
      <c r="X9" s="3"/>
      <c r="Y9" s="3"/>
    </row>
    <row r="10">
      <c r="A10" s="6" t="str">
        <f>IFERROR(__xludf.DUMMYFUNCTION("""COMPUTED_VALUE"""),"PRACTICAS INTERNACIONALES")</f>
        <v>PRACTICAS INTERNACIONALES</v>
      </c>
      <c r="B10" s="6" t="str">
        <f>IFERROR(__xludf.DUMMYFUNCTION("""COMPUTED_VALUE"""),"Ciclo profesional")</f>
        <v>Ciclo profesional</v>
      </c>
      <c r="C10" s="6" t="str">
        <f>IFERROR(__xludf.DUMMYFUNCTION("""COMPUTED_VALUE"""),"Tecnología en Gestión Gastronómica")</f>
        <v>Tecnología en Gestión Gastronómica</v>
      </c>
      <c r="D10" s="6" t="str">
        <f>IFERROR(__xludf.DUMMYFUNCTION("""COMPUTED_VALUE"""),"Hoteles de talla mundial como Hyatt, Marriot, Accor, etc para pasantías internacionales. Ofrecemos puestos para gastronomía, turismo y hotelería. Las posiciones varian dependiendo de la que el estudiante seleccione.")</f>
        <v>Hoteles de talla mundial como Hyatt, Marriot, Accor, etc para pasantías internacionales. Ofrecemos puestos para gastronomía, turismo y hotelería. Las posiciones varian dependiendo de la que el estudiante seleccione.</v>
      </c>
      <c r="E10" s="7" t="str">
        <f>IFERROR(__xludf.DUMMYFUNCTION("""COMPUTED_VALUE"""),"No")</f>
        <v>No</v>
      </c>
      <c r="F10" s="6" t="str">
        <f>IFERROR(__xludf.DUMMYFUNCTION("""COMPUTED_VALUE"""),"Bogotá (Chia, Cota, Sopó, Cajicá y alrededores)")</f>
        <v>Bogotá (Chia, Cota, Sopó, Cajicá y alrededores)</v>
      </c>
      <c r="G10" s="6" t="str">
        <f>IFERROR(__xludf.DUMMYFUNCTION("""COMPUTED_VALUE"""),"Gastronomía")</f>
        <v>Gastronomía</v>
      </c>
      <c r="H10" s="6" t="str">
        <f>IFERROR(__xludf.DUMMYFUNCTION("""COMPUTED_VALUE"""),"De 2 SMMLV a 3 SMMLV")</f>
        <v>De 2 SMMLV a 3 SMMLV</v>
      </c>
      <c r="I10" s="8">
        <f>IFERROR(__xludf.DUMMYFUNCTION("""COMPUTED_VALUE"""),46218.0)</f>
        <v>46218</v>
      </c>
      <c r="J10" s="8">
        <f>IFERROR(__xludf.DUMMYFUNCTION("""COMPUTED_VALUE"""),46387.0)</f>
        <v>46387</v>
      </c>
      <c r="K10" s="7" t="str">
        <f>IFERROR(__xludf.DUMMYFUNCTION("""COMPUTED_VALUE"""),"sebastian@radiocoffeeandbeer.com")</f>
        <v>sebastian@radiocoffeeandbeer.com</v>
      </c>
      <c r="L10" s="3"/>
      <c r="M10" s="3"/>
      <c r="N10" s="3"/>
      <c r="O10" s="3"/>
      <c r="P10" s="3"/>
      <c r="Q10" s="3"/>
      <c r="R10" s="3"/>
      <c r="S10" s="3"/>
      <c r="T10" s="3"/>
      <c r="U10" s="3"/>
      <c r="V10" s="3"/>
      <c r="W10" s="3"/>
      <c r="X10" s="3"/>
      <c r="Y10" s="3"/>
    </row>
    <row r="11">
      <c r="A11" s="6" t="str">
        <f>IFERROR(__xludf.DUMMYFUNCTION("""COMPUTED_VALUE"""),"HYCITE")</f>
        <v>HYCITE</v>
      </c>
      <c r="B11" s="6" t="str">
        <f>IFERROR(__xludf.DUMMYFUNCTION("""COMPUTED_VALUE"""),"Ciclo profesional")</f>
        <v>Ciclo profesional</v>
      </c>
      <c r="C11" s="6" t="str">
        <f>IFERROR(__xludf.DUMMYFUNCTION("""COMPUTED_VALUE"""),"No aplica")</f>
        <v>No aplica</v>
      </c>
      <c r="D11" s="6" t="str">
        <f>IFERROR(__xludf.DUMMYFUNCTION("""COMPUTED_VALUE"""),"🔎 ¿Buscas tu práctica profesional en área de Supply Chain?
¡Esta oportunidad es para ti! 💼✨
En HY CITE, estamos en búsqueda de un/a Practicante Profesional que quiera desarrollar su carrera en un equipo apasionado por las personas y el crecimiento organ"&amp;"izacional. 🧠💙
👥 ¿Qué harás?
Serás clave para apoyar al equipo de operaciones en temas como:
Trabajar con un equipo multicultural ubicado en Colombia, Estados Unidos y Brasil.
La oportunidad de continuar desarrollando tus habilidades en el idioma inglés"&amp;", ya que nuestras reuniones se realizan principalmente en este idioma.
Conocer de los procesos de planeación de la demanda, planeación del abastecimiento, productos nuevos, Sales and Operations Planning (S&amp;OP) y data maestra.
Desarrollar/fortalecer tus ha"&amp;"bilidades en herramientas de Microsoft Office: Excel, Power Query, Power BI y PowerApps.
Soportar los procesos de mejora continua identificando oportunidades y documentando procesos.
¡Y mucho más!
🎯 ¿A quién buscamos?
Estudiantes de Ingeniería Industrial"&amp;" o carreras administrativas con interés por las áreas de cadena de abastecimiento.
Nivel de inglés B1 y disposición de practicarlo y continuar desarrollándolo.
Conocimientos de Microsoft Office y Excel avanzado.
Estar habilitado/a para iniciar prácticas d"&amp;"esde este segundo semestre del año.
Excelente comunicación, ortografía y trabajo en equipo.
🎁 ¿Qué ofrecemos?
Contrato laboral con todas las prestaciones exigidas por la ley.
100% del salario mínimo.
Modalidad presencial (Calle 100 – Bogotá).
Horario: Lu"&amp;"nes a viernes, 8:00 a.m. – 5:00 p.m.
Un ambiente laboral increíble y oportunidades reales de desarrollo profesional.
🙌 ¡No es solo una práctica, es el inicio de tu carrera!
🔗 Postúlate o comparte esta publicación con quien pueda estar interesado.
Únete "&amp;"al mejor talento.
")</f>
        <v>🔎 ¿Buscas tu práctica profesional en área de Supply Chain?
¡Esta oportunidad es para ti! 💼✨
En HY CITE, estamos en búsqueda de un/a Practicante Profesional que quiera desarrollar su carrera en un equipo apasionado por las personas y el crecimiento organizacional. 🧠💙
👥 ¿Qué harás?
Serás clave para apoyar al equipo de operaciones en temas como:
Trabajar con un equipo multicultural ubicado en Colombia, Estados Unidos y Brasil.
La oportunidad de continuar desarrollando tus habilidades en el idioma inglés, ya que nuestras reuniones se realizan principalmente en este idioma.
Conocer de los procesos de planeación de la demanda, planeación del abastecimiento, productos nuevos, Sales and Operations Planning (S&amp;OP) y data maestra.
Desarrollar/fortalecer tus habilidades en herramientas de Microsoft Office: Excel, Power Query, Power BI y PowerApps.
Soportar los procesos de mejora continua identificando oportunidades y documentando procesos.
¡Y mucho más!
🎯 ¿A quién buscamos?
Estudiantes de Ingeniería Industrial o carreras administrativas con interés por las áreas de cadena de abastecimiento.
Nivel de inglés B1 y disposición de practicarlo y continuar desarrollándolo.
Conocimientos de Microsoft Office y Excel avanzado.
Estar habilitado/a para iniciar prácticas desde este segundo semestre del año.
Excelente comunicación, ortografía y trabajo en equipo.
🎁 ¿Qué ofrecemos?
Contrato laboral con todas las prestaciones exigidas por la ley.
100% del salario mínimo.
Modalidad presencial (Calle 100 – Bogotá).
Horario: Lunes a viernes, 8:00 a.m. – 5:00 p.m.
Un ambiente laboral increíble y oportunidades reales de desarrollo profesional.
🙌 ¡No es solo una práctica, es el inicio de tu carrera!
🔗 Postúlate o comparte esta publicación con quien pueda estar interesado.
Únete al mejor talento.
</v>
      </c>
      <c r="E11" s="7" t="str">
        <f>IFERROR(__xludf.DUMMYFUNCTION("""COMPUTED_VALUE"""),"Si")</f>
        <v>Si</v>
      </c>
      <c r="F11" s="6" t="str">
        <f>IFERROR(__xludf.DUMMYFUNCTION("""COMPUTED_VALUE"""),"Bogotá (Chia, Cota, Sopó, Cajicá y alrededores)")</f>
        <v>Bogotá (Chia, Cota, Sopó, Cajicá y alrededores)</v>
      </c>
      <c r="G11" s="6" t="str">
        <f>IFERROR(__xludf.DUMMYFUNCTION("""COMPUTED_VALUE"""),"Comercio Internacional")</f>
        <v>Comercio Internacional</v>
      </c>
      <c r="H11" s="6" t="str">
        <f>IFERROR(__xludf.DUMMYFUNCTION("""COMPUTED_VALUE"""),"1 SMMLV")</f>
        <v>1 SMMLV</v>
      </c>
      <c r="I11" s="8">
        <f>IFERROR(__xludf.DUMMYFUNCTION("""COMPUTED_VALUE"""),46225.0)</f>
        <v>46225</v>
      </c>
      <c r="J11" s="8">
        <f>IFERROR(__xludf.DUMMYFUNCTION("""COMPUTED_VALUE"""),46302.0)</f>
        <v>46302</v>
      </c>
      <c r="K11" s="7" t="str">
        <f>IFERROR(__xludf.DUMMYFUNCTION("""COMPUTED_VALUE"""),"vbrocher@hycite.com")</f>
        <v>vbrocher@hycite.com</v>
      </c>
      <c r="L11" s="3"/>
      <c r="M11" s="3"/>
      <c r="N11" s="3"/>
      <c r="O11" s="3"/>
      <c r="P11" s="3"/>
      <c r="Q11" s="3"/>
      <c r="R11" s="3"/>
      <c r="S11" s="3"/>
      <c r="T11" s="3"/>
      <c r="U11" s="3"/>
      <c r="V11" s="3"/>
      <c r="W11" s="3"/>
      <c r="X11" s="3"/>
      <c r="Y11" s="3"/>
    </row>
    <row r="12">
      <c r="A12" s="6" t="str">
        <f>IFERROR(__xludf.DUMMYFUNCTION("""COMPUTED_VALUE"""),"IMPRESOS FENIX SAS")</f>
        <v>IMPRESOS FENIX SAS</v>
      </c>
      <c r="B12" s="6" t="str">
        <f>IFERROR(__xludf.DUMMYFUNCTION("""COMPUTED_VALUE"""),"Ciclo tecnológico")</f>
        <v>Ciclo tecnológico</v>
      </c>
      <c r="C12" s="6" t="str">
        <f>IFERROR(__xludf.DUMMYFUNCTION("""COMPUTED_VALUE"""),"Tecnología en Procesamiento de Polímeros, Tecnología en Automatización y Robótica Industrial, Tecnología en Mecánica Industrial, Tecnología en Gestión de Procesos Industriales")</f>
        <v>Tecnología en Procesamiento de Polímeros, Tecnología en Automatización y Robótica Industrial, Tecnología en Mecánica Industrial, Tecnología en Gestión de Procesos Industriales</v>
      </c>
      <c r="D12" s="6" t="str">
        <f>IFERROR(__xludf.DUMMYFUNCTION("""COMPUTED_VALUE"""),"Empresa de impresión de plástico requiere hombre para desempeñarse en mecatrónica a plicada a maquinas de impresión - maquinas de extrusión - selladoras")</f>
        <v>Empresa de impresión de plástico requiere hombre para desempeñarse en mecatrónica a plicada a maquinas de impresión - maquinas de extrusión - selladoras</v>
      </c>
      <c r="E12" s="7" t="str">
        <f>IFERROR(__xludf.DUMMYFUNCTION("""COMPUTED_VALUE"""),"Si")</f>
        <v>Si</v>
      </c>
      <c r="F12" s="6" t="str">
        <f>IFERROR(__xludf.DUMMYFUNCTION("""COMPUTED_VALUE"""),"Medellín")</f>
        <v>Medellín</v>
      </c>
      <c r="G12" s="6" t="str">
        <f>IFERROR(__xludf.DUMMYFUNCTION("""COMPUTED_VALUE"""),"Mercadeo y Publicidad, Ingeniería de Polímeros, Ingeniería Mecatrónica, Ingeniería Mecánica")</f>
        <v>Mercadeo y Publicidad, Ingeniería de Polímeros, Ingeniería Mecatrónica, Ingeniería Mecánica</v>
      </c>
      <c r="H12" s="6" t="str">
        <f>IFERROR(__xludf.DUMMYFUNCTION("""COMPUTED_VALUE"""),"1 SMMLV")</f>
        <v>1 SMMLV</v>
      </c>
      <c r="I12" s="8">
        <f>IFERROR(__xludf.DUMMYFUNCTION("""COMPUTED_VALUE"""),46226.0)</f>
        <v>46226</v>
      </c>
      <c r="J12" s="8">
        <f>IFERROR(__xludf.DUMMYFUNCTION("""COMPUTED_VALUE"""),46318.0)</f>
        <v>46318</v>
      </c>
      <c r="K12" s="7" t="str">
        <f>IFERROR(__xludf.DUMMYFUNCTION("""COMPUTED_VALUE"""),"formaxfenix@gmail.com")</f>
        <v>formaxfenix@gmail.com</v>
      </c>
      <c r="L12" s="3"/>
      <c r="M12" s="3"/>
      <c r="N12" s="3"/>
      <c r="O12" s="3"/>
      <c r="P12" s="3"/>
      <c r="Q12" s="3"/>
      <c r="R12" s="3"/>
      <c r="S12" s="3"/>
      <c r="T12" s="3"/>
      <c r="U12" s="3"/>
      <c r="V12" s="3"/>
      <c r="W12" s="3"/>
      <c r="X12" s="3"/>
      <c r="Y12" s="3"/>
    </row>
    <row r="13">
      <c r="A13" s="6" t="str">
        <f>IFERROR(__xludf.DUMMYFUNCTION("""COMPUTED_VALUE"""),"AGOMONT LIMITADA ")</f>
        <v>AGOMONT LIMITADA </v>
      </c>
      <c r="B13" s="6" t="str">
        <f>IFERROR(__xludf.DUMMYFUNCTION("""COMPUTED_VALUE"""),"Ciclo profesional")</f>
        <v>Ciclo profesional</v>
      </c>
      <c r="C13" s="6" t="str">
        <f>IFERROR(__xludf.DUMMYFUNCTION("""COMPUTED_VALUE"""),"Tecnología en Mecánica Industrial, Tecnología en Gestión de Procesos Industriales, Tecnología en Electrónica Industrial, Tecnología en Gestión Ambiental")</f>
        <v>Tecnología en Mecánica Industrial, Tecnología en Gestión de Procesos Industriales, Tecnología en Electrónica Industrial, Tecnología en Gestión Ambiental</v>
      </c>
      <c r="D13" s="6" t="str">
        <f>IFERROR(__xludf.DUMMYFUNCTION("""COMPUTED_VALUE"""),"Auxiliar de Ingeniería – Estudiante de últimos semestres o recién egresado Ingeniería Mecánica o Ingeniería Industrial
¿Estás buscando tu primera experiencia profesional y quieres aprender de proyectos reales?
Esta puede ser la oportunidad que estás bus"&amp;"cando.
Somos una PYME en pleno crecimiento, dedicada al desarrollo de proyectos metalmecánicos y civiles a nivel nacional. Buscamos integrar a nuestro equipo un(a) estudiante de últimos semestres o recién egresado(a) de Ingeniería Mecánica o Ingeniería I"&amp;"ndustrial, con actitud, iniciativa y muchas ganas de aprender.
Aquí no serás un observador: participarás activamente en proyectos de ingeniería, fabricación y montaje, trabajando de la mano con un equipo que te permitirá desarrollar habilidades técnicas "&amp;"y de gestión.
¿Cuáles serán tus responsabilidades?
Apoyar el seguimiento y control de avances de obra.
Elaborar reportes técnicos y documentación de proyectos.
Apoyar la elaboración y actualización de planos.
Participar en la implementación y seguimiento"&amp;" de planes de calidad.
Hacer seguimiento a procesos, costos y control de producción.
Apoyar el desarrollo de procesos de fabricación y mejora continua.
Brindar soporte al equipo de ingeniería en las diferentes etapas de los proyectos.
Buscamos una person"&amp;"a que tenga:
Estudiante de últimos semestres o recién egresado(a) de Ingeniería Mecánica o Ingeniería Industrial.
Interés por el sector metalmecánico y la fabricación.
Capacidad de análisis, organización y atención al detalle.
Actitud proactiva, iniciativ"&amp;"a y disposición para aprender.
Buenas habilidades de comunicación y trabajo en equipo.
¿Qué ofrecemos?
La oportunidad de aprender en proyectos reales desde el primer día.
Acompañamiento y crecimiento profesional.
Exposición a diferentes áreas de la ingen"&amp;"iería: diseño, fabricación, calidad, costos y obra.
Un ambiente de trabajo dinámico, donde tus ideas y aportes serán valorados.
Si eres una persona con iniciativa, curiosidad por aprender y ganas de construir una carrera en el sector metalmecánico, quere"&amp;"mos conocerte. ¡Postúlate y crece con nosotros!")</f>
        <v>Auxiliar de Ingeniería – Estudiante de últimos semestres o recién egresado Ingeniería Mecánica o Ingeniería Industrial
¿Estás buscando tu primera experiencia profesional y quieres aprender de proyectos reales?
Esta puede ser la oportunidad que estás buscando.
Somos una PYME en pleno crecimiento, dedicada al desarrollo de proyectos metalmecánicos y civiles a nivel nacional. Buscamos integrar a nuestro equipo un(a) estudiante de últimos semestres o recién egresado(a) de Ingeniería Mecánica o Ingeniería Industrial, con actitud, iniciativa y muchas ganas de aprender.
Aquí no serás un observador: participarás activamente en proyectos de ingeniería, fabricación y montaje, trabajando de la mano con un equipo que te permitirá desarrollar habilidades técnicas y de gestión.
¿Cuáles serán tus responsabilidades?
Apoyar el seguimiento y control de avances de obra.
Elaborar reportes técnicos y documentación de proyectos.
Apoyar la elaboración y actualización de planos.
Participar en la implementación y seguimiento de planes de calidad.
Hacer seguimiento a procesos, costos y control de producción.
Apoyar el desarrollo de procesos de fabricación y mejora continua.
Brindar soporte al equipo de ingeniería en las diferentes etapas de los proyectos.
Buscamos una persona que tenga:
Estudiante de últimos semestres o recién egresado(a) de Ingeniería Mecánica o Ingeniería Industrial.
Interés por el sector metalmecánico y la fabricación.
Capacidad de análisis, organización y atención al detalle.
Actitud proactiva, iniciativa y disposición para aprender.
Buenas habilidades de comunicación y trabajo en equipo.
¿Qué ofrecemos?
La oportunidad de aprender en proyectos reales desde el primer día.
Acompañamiento y crecimiento profesional.
Exposición a diferentes áreas de la ingeniería: diseño, fabricación, calidad, costos y obra.
Un ambiente de trabajo dinámico, donde tus ideas y aportes serán valorados.
Si eres una persona con iniciativa, curiosidad por aprender y ganas de construir una carrera en el sector metalmecánico, queremos conocerte. ¡Postúlate y crece con nosotros!</v>
      </c>
      <c r="E13" s="7" t="str">
        <f>IFERROR(__xludf.DUMMYFUNCTION("""COMPUTED_VALUE"""),"No")</f>
        <v>No</v>
      </c>
      <c r="F13" s="6" t="str">
        <f>IFERROR(__xludf.DUMMYFUNCTION("""COMPUTED_VALUE"""),"Bogotá (Chia, Cota, Sopó, Cajicá y alrededores)")</f>
        <v>Bogotá (Chia, Cota, Sopó, Cajicá y alrededores)</v>
      </c>
      <c r="G13" s="6" t="str">
        <f>IFERROR(__xludf.DUMMYFUNCTION("""COMPUTED_VALUE"""),"Ingeniería Mecatrónica, Ingeniería Mecánica, Ingeniería Industrial, Ingeniería Electrónica, Ingeniería de Sistemas, Ingeniería Ambiental")</f>
        <v>Ingeniería Mecatrónica, Ingeniería Mecánica, Ingeniería Industrial, Ingeniería Electrónica, Ingeniería de Sistemas, Ingeniería Ambiental</v>
      </c>
      <c r="H13" s="6" t="str">
        <f>IFERROR(__xludf.DUMMYFUNCTION("""COMPUTED_VALUE"""),"1 SMMLV")</f>
        <v>1 SMMLV</v>
      </c>
      <c r="I13" s="8">
        <f>IFERROR(__xludf.DUMMYFUNCTION("""COMPUTED_VALUE"""),46230.0)</f>
        <v>46230</v>
      </c>
      <c r="J13" s="8">
        <f>IFERROR(__xludf.DUMMYFUNCTION("""COMPUTED_VALUE"""),46356.0)</f>
        <v>46356</v>
      </c>
      <c r="K13" s="7" t="str">
        <f>IFERROR(__xludf.DUMMYFUNCTION("""COMPUTED_VALUE"""),"agomont-ltda@hotmail.com")</f>
        <v>agomont-ltda@hotmail.com</v>
      </c>
      <c r="L13" s="3"/>
      <c r="M13" s="3"/>
      <c r="N13" s="3"/>
      <c r="O13" s="3"/>
      <c r="P13" s="3"/>
      <c r="Q13" s="3"/>
      <c r="R13" s="3"/>
      <c r="S13" s="3"/>
      <c r="T13" s="3"/>
      <c r="U13" s="3"/>
      <c r="V13" s="3"/>
      <c r="W13" s="3"/>
      <c r="X13" s="3"/>
      <c r="Y13" s="3"/>
    </row>
    <row r="14">
      <c r="A14" s="6" t="str">
        <f>IFERROR(__xludf.DUMMYFUNCTION("""COMPUTED_VALUE"""),"LABORATORIOS NATURCOL SA")</f>
        <v>LABORATORIOS NATURCOL SA</v>
      </c>
      <c r="B14" s="6" t="str">
        <f>IFERROR(__xludf.DUMMYFUNCTION("""COMPUTED_VALUE"""),"Ciclo tecnológico, Ciclo profesional")</f>
        <v>Ciclo tecnológico, Ciclo profesional</v>
      </c>
      <c r="C14" s="6" t="str">
        <f>IFERROR(__xludf.DUMMYFUNCTION("""COMPUTED_VALUE"""),"Tecnología en Procesos Químicos Industriales, Tecnología en Gestión de Procesos Industriales")</f>
        <v>Tecnología en Procesos Químicos Industriales, Tecnología en Gestión de Procesos Industriales</v>
      </c>
      <c r="D14" s="6" t="str">
        <f>IFERROR(__xludf.DUMMYFUNCTION("""COMPUTED_VALUE"""),"Laboratorio farmacéutico de productos naturales con más de 40 años de experiencia en el mercado colombiano requiere para su equipo de trabajo aprendices en etapa productiva para fortalecer sus procesos de Producción, Control de Calidad, Aseguramiento de C"&amp;"alidad, Metrología. La empresa cuenta con certificación en Buenas Prácticas de Manufactura (BPM) y se dedica a la fabricación de medicamentos fitoterapéuticos, suplementos dietarios, alimentos y cosméticos.")</f>
        <v>Laboratorio farmacéutico de productos naturales con más de 40 años de experiencia en el mercado colombiano requiere para su equipo de trabajo aprendices en etapa productiva para fortalecer sus procesos de Producción, Control de Calidad, Aseguramiento de Calidad, Metrología. La empresa cuenta con certificación en Buenas Prácticas de Manufactura (BPM) y se dedica a la fabricación de medicamentos fitoterapéuticos, suplementos dietarios, alimentos y cosméticos.</v>
      </c>
      <c r="E14" s="7" t="str">
        <f>IFERROR(__xludf.DUMMYFUNCTION("""COMPUTED_VALUE"""),"No")</f>
        <v>No</v>
      </c>
      <c r="F14" s="6" t="str">
        <f>IFERROR(__xludf.DUMMYFUNCTION("""COMPUTED_VALUE"""),"Bogotá (Chia, Cota, Sopó, Cajicá y alrededores)")</f>
        <v>Bogotá (Chia, Cota, Sopó, Cajicá y alrededores)</v>
      </c>
      <c r="G14" s="6" t="str">
        <f>IFERROR(__xludf.DUMMYFUNCTION("""COMPUTED_VALUE"""),"Ingeniería Industrial")</f>
        <v>Ingeniería Industrial</v>
      </c>
      <c r="H14" s="6" t="str">
        <f>IFERROR(__xludf.DUMMYFUNCTION("""COMPUTED_VALUE"""),"1 SMMLV")</f>
        <v>1 SMMLV</v>
      </c>
      <c r="I14" s="8">
        <f>IFERROR(__xludf.DUMMYFUNCTION("""COMPUTED_VALUE"""),46227.0)</f>
        <v>46227</v>
      </c>
      <c r="J14" s="8">
        <f>IFERROR(__xludf.DUMMYFUNCTION("""COMPUTED_VALUE"""),46295.0)</f>
        <v>46295</v>
      </c>
      <c r="K14" s="7" t="str">
        <f>IFERROR(__xludf.DUMMYFUNCTION("""COMPUTED_VALUE"""),"recursos@naturcol.com")</f>
        <v>recursos@naturcol.com</v>
      </c>
      <c r="L14" s="3"/>
      <c r="M14" s="3"/>
      <c r="N14" s="3"/>
      <c r="O14" s="3"/>
      <c r="P14" s="3"/>
      <c r="Q14" s="3"/>
      <c r="R14" s="3"/>
      <c r="S14" s="3"/>
      <c r="T14" s="3"/>
      <c r="U14" s="3"/>
      <c r="V14" s="3"/>
      <c r="W14" s="3"/>
      <c r="X14" s="3"/>
      <c r="Y14" s="3"/>
    </row>
    <row r="15">
      <c r="A15" s="6" t="str">
        <f>IFERROR(__xludf.DUMMYFUNCTION("""COMPUTED_VALUE"""),"ALIMENTOS CÁRNICOS S.A.S")</f>
        <v>ALIMENTOS CÁRNICOS S.A.S</v>
      </c>
      <c r="B15" s="6" t="str">
        <f>IFERROR(__xludf.DUMMYFUNCTION("""COMPUTED_VALUE"""),"Ciclo tecnológico, Ciclo profesional")</f>
        <v>Ciclo tecnológico, Ciclo profesional</v>
      </c>
      <c r="C15" s="6" t="str">
        <f>IFERROR(__xludf.DUMMYFUNCTION("""COMPUTED_VALUE"""),"Tecnología en Procesos Químicos Industriales, Tecnología en Automatización y Robótica Industrial, Tecnología en Mecánica Industrial, Tecnología en Gestión de Procesos Industriales, Tecnología en Electrónica Industrial, Tecnología en Desarrollo Informático")</f>
        <v>Tecnología en Procesos Químicos Industriales, Tecnología en Automatización y Robótica Industrial, Tecnología en Mecánica Industrial, Tecnología en Gestión de Procesos Industriales, Tecnología en Electrónica Industrial, Tecnología en Desarrollo Informático</v>
      </c>
      <c r="D15" s="6" t="str">
        <f>IFERROR(__xludf.DUMMYFUNCTION("""COMPUTED_VALUE"""),"¿Te gustaría ser parte del Grupo Nutresa?
Alimentos Cárnicos se encuentra en la búsqueda de estudiantes de carreras administrativas, ingenierías y afines para realizar su práctica en áreas como: Calidad, Mantenimiento, Producción, Gestión Humana y Logísti"&amp;"ca, de manera presencial en la planta de producción ubicada en Fontibón. 
Requisitos: 
No haber tenido contrato de aprendizaje. 
¿Qué ofrecemos? 
Contrato a término fijo
Salario con prestaciones legales
Ruta y alimentación
Acceso a beneficios extralegal"&amp;"es para educación, salud y deporte. 
¡Te estamos esperando para iniciar tu carrera laboral! 
Nota: Si aún no estas disponible para hacer tu período práctica, puedes dejarnos tu contacto para cuando sea el momento. Contratamos periodicamente.
Contacto: "&amp;"jmmartinez@alimentoscarnicos.com.co
")</f>
        <v>¿Te gustaría ser parte del Grupo Nutresa?
Alimentos Cárnicos se encuentra en la búsqueda de estudiantes de carreras administrativas, ingenierías y afines para realizar su práctica en áreas como: Calidad, Mantenimiento, Producción, Gestión Humana y Logística, de manera presencial en la planta de producción ubicada en Fontibón. 
Requisitos: 
No haber tenido contrato de aprendizaje. 
¿Qué ofrecemos? 
Contrato a término fijo
Salario con prestaciones legales
Ruta y alimentación
Acceso a beneficios extralegales para educación, salud y deporte. 
¡Te estamos esperando para iniciar tu carrera laboral! 
Nota: Si aún no estas disponible para hacer tu período práctica, puedes dejarnos tu contacto para cuando sea el momento. Contratamos periodicamente.
Contacto: jmmartinez@alimentoscarnicos.com.co
</v>
      </c>
      <c r="E15" s="7" t="str">
        <f>IFERROR(__xludf.DUMMYFUNCTION("""COMPUTED_VALUE"""),"Si")</f>
        <v>Si</v>
      </c>
      <c r="F15" s="6" t="str">
        <f>IFERROR(__xludf.DUMMYFUNCTION("""COMPUTED_VALUE"""),"Bogotá (Chia, Cota, Sopó, Cajicá y alrededores)")</f>
        <v>Bogotá (Chia, Cota, Sopó, Cajicá y alrededores)</v>
      </c>
      <c r="G15" s="6" t="str">
        <f>IFERROR(__xludf.DUMMYFUNCTION("""COMPUTED_VALUE"""),"Ingeniería Química, Ingeniería Mecatrónica, Ingeniería Mecánica, Ingeniería Industrial, Ingeniería Electrónica, Ingeniería de Sistemas")</f>
        <v>Ingeniería Química, Ingeniería Mecatrónica, Ingeniería Mecánica, Ingeniería Industrial, Ingeniería Electrónica, Ingeniería de Sistemas</v>
      </c>
      <c r="H15" s="6" t="str">
        <f>IFERROR(__xludf.DUMMYFUNCTION("""COMPUTED_VALUE"""),"1 SMMLV")</f>
        <v>1 SMMLV</v>
      </c>
      <c r="I15" s="8">
        <f>IFERROR(__xludf.DUMMYFUNCTION("""COMPUTED_VALUE"""),46227.0)</f>
        <v>46227</v>
      </c>
      <c r="J15" s="8">
        <f>IFERROR(__xludf.DUMMYFUNCTION("""COMPUTED_VALUE"""),46380.0)</f>
        <v>46380</v>
      </c>
      <c r="K15" s="7" t="str">
        <f>IFERROR(__xludf.DUMMYFUNCTION("""COMPUTED_VALUE"""),"jmmartinez@alimentoscarnicos.com.co")</f>
        <v>jmmartinez@alimentoscarnicos.com.co</v>
      </c>
      <c r="L15" s="3"/>
      <c r="M15" s="3"/>
      <c r="N15" s="3"/>
      <c r="O15" s="3"/>
      <c r="P15" s="3"/>
      <c r="Q15" s="3"/>
      <c r="R15" s="3"/>
      <c r="S15" s="3"/>
      <c r="T15" s="3"/>
      <c r="U15" s="3"/>
      <c r="V15" s="3"/>
      <c r="W15" s="3"/>
      <c r="X15" s="3"/>
      <c r="Y15" s="3"/>
    </row>
    <row r="16">
      <c r="A16" s="6" t="str">
        <f>IFERROR(__xludf.DUMMYFUNCTION("""COMPUTED_VALUE"""),"SERVIMED IPS")</f>
        <v>SERVIMED IPS</v>
      </c>
      <c r="B16" s="6" t="str">
        <f>IFERROR(__xludf.DUMMYFUNCTION("""COMPUTED_VALUE"""),"Ciclo tecnológico, Ciclo profesional")</f>
        <v>Ciclo tecnológico, Ciclo profesional</v>
      </c>
      <c r="C16" s="6" t="str">
        <f>IFERROR(__xludf.DUMMYFUNCTION("""COMPUTED_VALUE"""),"Tecnología en Mantenimiento de Equipos Biomédicos")</f>
        <v>Tecnología en Mantenimiento de Equipos Biomédicos</v>
      </c>
      <c r="D16" s="6" t="str">
        <f>IFERROR(__xludf.DUMMYFUNCTION("""COMPUTED_VALUE"""),"Servimed IPS, re quiere estudiante en carreras de Ingenieria biomedico o afines que ya se encuentre disponible en realizar sus practicas profesionales")</f>
        <v>Servimed IPS, re quiere estudiante en carreras de Ingenieria biomedico o afines que ya se encuentre disponible en realizar sus practicas profesionales</v>
      </c>
      <c r="E16" s="7"/>
      <c r="F16" s="6" t="str">
        <f>IFERROR(__xludf.DUMMYFUNCTION("""COMPUTED_VALUE"""),"Bogotá (Chia, Cota, Sopó, Cajicá y alrededores)")</f>
        <v>Bogotá (Chia, Cota, Sopó, Cajicá y alrededores)</v>
      </c>
      <c r="G16" s="6" t="str">
        <f>IFERROR(__xludf.DUMMYFUNCTION("""COMPUTED_VALUE"""),"Ingeniería Biomédica")</f>
        <v>Ingeniería Biomédica</v>
      </c>
      <c r="H16" s="6" t="str">
        <f>IFERROR(__xludf.DUMMYFUNCTION("""COMPUTED_VALUE"""),"1 SMMLV")</f>
        <v>1 SMMLV</v>
      </c>
      <c r="I16" s="8">
        <f>IFERROR(__xludf.DUMMYFUNCTION("""COMPUTED_VALUE"""),46232.0)</f>
        <v>46232</v>
      </c>
      <c r="J16" s="8">
        <f>IFERROR(__xludf.DUMMYFUNCTION("""COMPUTED_VALUE"""),46295.0)</f>
        <v>46295</v>
      </c>
      <c r="K16" s="7" t="str">
        <f>IFERROR(__xludf.DUMMYFUNCTION("""COMPUTED_VALUE"""),"asistentegestionhuaman@servimedips.com")</f>
        <v>asistentegestionhuaman@servimedips.com</v>
      </c>
      <c r="L16" s="3"/>
      <c r="M16" s="3"/>
      <c r="N16" s="3"/>
      <c r="O16" s="3"/>
      <c r="P16" s="3"/>
      <c r="Q16" s="3"/>
      <c r="R16" s="3"/>
      <c r="S16" s="3"/>
      <c r="T16" s="3"/>
      <c r="U16" s="3"/>
      <c r="V16" s="3"/>
      <c r="W16" s="3"/>
      <c r="X16" s="3"/>
      <c r="Y16" s="3"/>
    </row>
    <row r="17">
      <c r="A17" s="6" t="str">
        <f>IFERROR(__xludf.DUMMYFUNCTION("""COMPUTED_VALUE"""),"CRUX ROJA COLOMBIANA SECCIONAL CUNDINAMARCA Y BOGOTA")</f>
        <v>CRUX ROJA COLOMBIANA SECCIONAL CUNDINAMARCA Y BOGOTA</v>
      </c>
      <c r="B17" s="6" t="str">
        <f>IFERROR(__xludf.DUMMYFUNCTION("""COMPUTED_VALUE"""),"Ciclo tecnológico, Ciclo profesional")</f>
        <v>Ciclo tecnológico, Ciclo profesional</v>
      </c>
      <c r="C17" s="6" t="str">
        <f>IFERROR(__xludf.DUMMYFUNCTION("""COMPUTED_VALUE"""),"Tecnología en Creación y Producción de Moda, Tecnología en Mercadeo y Diseño Publicitario, Tecnología en Gestión Contable, Tecnología en Soporte de Telecomunicaciones, Tecnología en Mantenimiento de Equipos Biomédicos, Tecnología en Gestión Ambiental")</f>
        <v>Tecnología en Creación y Producción de Moda, Tecnología en Mercadeo y Diseño Publicitario, Tecnología en Gestión Contable, Tecnología en Soporte de Telecomunicaciones, Tecnología en Mantenimiento de Equipos Biomédicos, Tecnología en Gestión Ambiental</v>
      </c>
      <c r="D17" s="6" t="str">
        <f>IFERROR(__xludf.DUMMYFUNCTION("""COMPUTED_VALUE"""),"En la institución humanitaria más grande del mundo, queremos contribuir a tu desarrollo personal, profesional y laboral para vincularlos mediante CONTRATO DE APRENDIOZAJE como prácticante de programas tecnologicos o profesionales. (Práctica presencial)")</f>
        <v>En la institución humanitaria más grande del mundo, queremos contribuir a tu desarrollo personal, profesional y laboral para vincularlos mediante CONTRATO DE APRENDIOZAJE como prácticante de programas tecnologicos o profesionales. (Práctica presencial)</v>
      </c>
      <c r="E17" s="7" t="str">
        <f>IFERROR(__xludf.DUMMYFUNCTION("""COMPUTED_VALUE"""),"Si")</f>
        <v>Si</v>
      </c>
      <c r="F17" s="6" t="str">
        <f>IFERROR(__xludf.DUMMYFUNCTION("""COMPUTED_VALUE"""),"Bogotá (Chia, Cota, Sopó, Cajicá y alrededores)")</f>
        <v>Bogotá (Chia, Cota, Sopó, Cajicá y alrededores)</v>
      </c>
      <c r="G17" s="6" t="str">
        <f>IFERROR(__xludf.DUMMYFUNCTION("""COMPUTED_VALUE"""),"Contaduría Pública, Ingeniería Industrial")</f>
        <v>Contaduría Pública, Ingeniería Industrial</v>
      </c>
      <c r="H17" s="6" t="str">
        <f>IFERROR(__xludf.DUMMYFUNCTION("""COMPUTED_VALUE"""),"1 SMMLV")</f>
        <v>1 SMMLV</v>
      </c>
      <c r="I17" s="8">
        <f>IFERROR(__xludf.DUMMYFUNCTION("""COMPUTED_VALUE"""),46231.0)</f>
        <v>46231</v>
      </c>
      <c r="J17" s="8">
        <f>IFERROR(__xludf.DUMMYFUNCTION("""COMPUTED_VALUE"""),46387.0)</f>
        <v>46387</v>
      </c>
      <c r="K17" s="7" t="str">
        <f>IFERROR(__xludf.DUMMYFUNCTION("""COMPUTED_VALUE"""),"formacion@cruzrojabogota.org.co")</f>
        <v>formacion@cruzrojabogota.org.co</v>
      </c>
      <c r="L17" s="3"/>
      <c r="M17" s="3"/>
      <c r="N17" s="3"/>
      <c r="O17" s="3"/>
      <c r="P17" s="3"/>
      <c r="Q17" s="3"/>
      <c r="R17" s="3"/>
      <c r="S17" s="3"/>
      <c r="T17" s="3"/>
      <c r="U17" s="3"/>
      <c r="V17" s="3"/>
      <c r="W17" s="3"/>
      <c r="X17" s="3"/>
      <c r="Y17" s="3"/>
    </row>
    <row r="18">
      <c r="A18" s="6" t="str">
        <f>IFERROR(__xludf.DUMMYFUNCTION("""COMPUTED_VALUE"""),"FÁBRICA DE ESPECIAS Y PRODUCTOS EL REY")</f>
        <v>FÁBRICA DE ESPECIAS Y PRODUCTOS EL REY</v>
      </c>
      <c r="B18" s="6" t="str">
        <f>IFERROR(__xludf.DUMMYFUNCTION("""COMPUTED_VALUE"""),"Ciclo tecnológico, Ciclo profesional")</f>
        <v>Ciclo tecnológico, Ciclo profesional</v>
      </c>
      <c r="C18" s="6" t="str">
        <f>IFERROR(__xludf.DUMMYFUNCTION("""COMPUTED_VALUE"""),"Tecnología en Gestión de Comercio Exterior, Tecnología en Procesos Químicos Industriales, Tecnología en Mecánica Industrial, Tecnología en Gestión de Procesos Industriales, Tecnología en Electrónica Industrial")</f>
        <v>Tecnología en Gestión de Comercio Exterior, Tecnología en Procesos Químicos Industriales, Tecnología en Mecánica Industrial, Tecnología en Gestión de Procesos Industriales, Tecnología en Electrónica Industrial</v>
      </c>
      <c r="D18" s="6" t="str">
        <f>IFERROR(__xludf.DUMMYFUNCTION("""COMPUTED_VALUE"""),"Importante empresa de consumo masivo se encuentra en búsqueda de 
aprendices para áreas como: Tecnología / TI, Mantenimiento, SST y Compras e importaciones.
Queremos contarte que en El Rey buscamos personas con ganas de aprender, crecer y aportar nuevas i"&amp;"deas. Más que una práctica, queremos que esta sea una etapa de muchísimo aprendizaje y desarrollo profesional, donde puedas involucrarte realmente en los procesos del área y adquirir experiencia valiosa para tu futuro laboral.
Además, contamos con:
🍴 Ali"&amp;"mentación incluida (refrigerio en la mañana y almuerzo)
🕖 Horario de lunes a viernes de 7:00 a.m. a 4:30 p.m.
📈 Posibilidad de continuar vinculado con la compañía si tu desempeño es destacado")</f>
        <v>Importante empresa de consumo masivo se encuentra en búsqueda de 
aprendices para áreas como: Tecnología / TI, Mantenimiento, SST y Compras e importaciones.
Queremos contarte que en El Rey buscamos personas con ganas de aprender, crecer y aportar nuevas ideas. Más que una práctica, queremos que esta sea una etapa de muchísimo aprendizaje y desarrollo profesional, donde puedas involucrarte realmente en los procesos del área y adquirir experiencia valiosa para tu futuro laboral.
Además, contamos con:
🍴 Alimentación incluida (refrigerio en la mañana y almuerzo)
🕖 Horario de lunes a viernes de 7:00 a.m. a 4:30 p.m.
📈 Posibilidad de continuar vinculado con la compañía si tu desempeño es destacado</v>
      </c>
      <c r="E18" s="7" t="str">
        <f>IFERROR(__xludf.DUMMYFUNCTION("""COMPUTED_VALUE"""),"Si")</f>
        <v>Si</v>
      </c>
      <c r="F18" s="6" t="str">
        <f>IFERROR(__xludf.DUMMYFUNCTION("""COMPUTED_VALUE"""),"Bogotá (Chia, Cota, Sopó, Cajicá y alrededores)")</f>
        <v>Bogotá (Chia, Cota, Sopó, Cajicá y alrededores)</v>
      </c>
      <c r="G18" s="6" t="str">
        <f>IFERROR(__xludf.DUMMYFUNCTION("""COMPUTED_VALUE"""),"Comercio Internacional, Administración de Empresas Virtual, Ingeniería Química, Ingeniería Mecánica, Ingeniería Industrial, Ingeniería Electrónica, Ingeniería de Sistemas")</f>
        <v>Comercio Internacional, Administración de Empresas Virtual, Ingeniería Química, Ingeniería Mecánica, Ingeniería Industrial, Ingeniería Electrónica, Ingeniería de Sistemas</v>
      </c>
      <c r="H18" s="6" t="str">
        <f>IFERROR(__xludf.DUMMYFUNCTION("""COMPUTED_VALUE"""),"1 SMMLV")</f>
        <v>1 SMMLV</v>
      </c>
      <c r="I18" s="8">
        <f>IFERROR(__xludf.DUMMYFUNCTION("""COMPUTED_VALUE"""),46232.0)</f>
        <v>46232</v>
      </c>
      <c r="J18" s="8">
        <f>IFERROR(__xludf.DUMMYFUNCTION("""COMPUTED_VALUE"""),46295.0)</f>
        <v>46295</v>
      </c>
      <c r="K18" s="7" t="str">
        <f>IFERROR(__xludf.DUMMYFUNCTION("""COMPUTED_VALUE"""),"analista.rrhh1@elrey.com.co")</f>
        <v>analista.rrhh1@elrey.com.co</v>
      </c>
      <c r="L18" s="3"/>
      <c r="M18" s="3"/>
      <c r="N18" s="3"/>
      <c r="O18" s="3"/>
      <c r="P18" s="3"/>
      <c r="Q18" s="3"/>
      <c r="R18" s="3"/>
      <c r="S18" s="3"/>
      <c r="T18" s="3"/>
      <c r="U18" s="3"/>
      <c r="V18" s="3"/>
      <c r="W18" s="3"/>
      <c r="X18" s="3"/>
      <c r="Y18" s="3"/>
    </row>
    <row r="19">
      <c r="A19" s="6" t="str">
        <f>IFERROR(__xludf.DUMMYFUNCTION("""COMPUTED_VALUE"""),"PRONEXT SAS")</f>
        <v>PRONEXT SAS</v>
      </c>
      <c r="B19" s="6" t="str">
        <f>IFERROR(__xludf.DUMMYFUNCTION("""COMPUTED_VALUE"""),"Ciclo tecnológico")</f>
        <v>Ciclo tecnológico</v>
      </c>
      <c r="C19" s="6" t="str">
        <f>IFERROR(__xludf.DUMMYFUNCTION("""COMPUTED_VALUE"""),"Tecnología en Gestión Contable, Tecnología en Mecánica Industrial, Tecnología en Gestión de Procesos Industriales")</f>
        <v>Tecnología en Gestión Contable, Tecnología en Mecánica Industrial, Tecnología en Gestión de Procesos Industriales</v>
      </c>
      <c r="D19" s="6" t="str">
        <f>IFERROR(__xludf.DUMMYFUNCTION("""COMPUTED_VALUE"""),"Empresa del sector industrial requiere para su equipo de trabajo estudiantes en el contabilidad o administracion, próximo a iniciar etapa práctica, para apoyar procesos contables, cartera, archivo, gestión documental y actividades administrativas. Debe se"&amp;"r organizado, proactivo y manejar herramientas ofimáticas.")</f>
        <v>Empresa del sector industrial requiere para su equipo de trabajo estudiantes en el contabilidad o administracion, próximo a iniciar etapa práctica, para apoyar procesos contables, cartera, archivo, gestión documental y actividades administrativas. Debe ser organizado, proactivo y manejar herramientas ofimáticas.</v>
      </c>
      <c r="E19" s="7" t="str">
        <f>IFERROR(__xludf.DUMMYFUNCTION("""COMPUTED_VALUE"""),"Si")</f>
        <v>Si</v>
      </c>
      <c r="F19" s="6" t="str">
        <f>IFERROR(__xludf.DUMMYFUNCTION("""COMPUTED_VALUE"""),"Bogotá (Chia, Cota, Sopó, Cajicá y alrededores)")</f>
        <v>Bogotá (Chia, Cota, Sopó, Cajicá y alrededores)</v>
      </c>
      <c r="G19" s="6" t="str">
        <f>IFERROR(__xludf.DUMMYFUNCTION("""COMPUTED_VALUE"""),"Contaduría Pública, Administración de Empresas Virtual, Ingeniería Mecánica, Ingeniería Industrial")</f>
        <v>Contaduría Pública, Administración de Empresas Virtual, Ingeniería Mecánica, Ingeniería Industrial</v>
      </c>
      <c r="H19" s="6" t="str">
        <f>IFERROR(__xludf.DUMMYFUNCTION("""COMPUTED_VALUE"""),"1 SMMLV")</f>
        <v>1 SMMLV</v>
      </c>
      <c r="I19" s="8">
        <f>IFERROR(__xludf.DUMMYFUNCTION("""COMPUTED_VALUE"""),46235.0)</f>
        <v>46235</v>
      </c>
      <c r="J19" s="8">
        <f>IFERROR(__xludf.DUMMYFUNCTION("""COMPUTED_VALUE"""),46295.0)</f>
        <v>46295</v>
      </c>
      <c r="K19" s="7" t="str">
        <f>IFERROR(__xludf.DUMMYFUNCTION("""COMPUTED_VALUE"""),"recursoshumanos@pronext.com.co")</f>
        <v>recursoshumanos@pronext.com.co</v>
      </c>
      <c r="L19" s="3"/>
      <c r="M19" s="3"/>
      <c r="N19" s="3"/>
      <c r="O19" s="3"/>
      <c r="P19" s="3"/>
      <c r="Q19" s="3"/>
      <c r="R19" s="3"/>
      <c r="S19" s="3"/>
      <c r="T19" s="3"/>
      <c r="U19" s="3"/>
      <c r="V19" s="3"/>
      <c r="W19" s="3"/>
      <c r="X19" s="3"/>
      <c r="Y19" s="3"/>
    </row>
    <row r="20">
      <c r="A20" s="6" t="str">
        <f>IFERROR(__xludf.DUMMYFUNCTION("""COMPUTED_VALUE"""),"GRUPO WENG YONG S.A.S")</f>
        <v>GRUPO WENG YONG S.A.S</v>
      </c>
      <c r="B20" s="6" t="str">
        <f>IFERROR(__xludf.DUMMYFUNCTION("""COMPUTED_VALUE"""),"Ciclo tecnológico, Ciclo profesional")</f>
        <v>Ciclo tecnológico, Ciclo profesional</v>
      </c>
      <c r="C20" s="6" t="str">
        <f>IFERROR(__xludf.DUMMYFUNCTION("""COMPUTED_VALUE"""),"Tecnología en Gestión Gastronómica")</f>
        <v>Tecnología en Gestión Gastronómica</v>
      </c>
      <c r="D20" s="6" t="str">
        <f>IFERROR(__xludf.DUMMYFUNCTION("""COMPUTED_VALUE"""),"Empresa de alimentos requiere para su equipo de trabajo hombres y mujeres para desempeñar el cargo de Pasante / Aprendiz de Cocina. Buscamos personas apasionadas por el sector gastronómico, orientadas al detalle, el orden y el trabajo en equipo.
Condicio"&amp;"nes de la vacante:
Objetivo de la práctica: Desarrollo de habilidades operativas en mise en place, estandarización de preparación de platos, manejo de inventarios e higiene alimentaria.
Tipo de contrato: Convenio de pasantía / Aprendizaje.
Horario: Rot"&amp;"ativos/ ajustado a horarios de estudio..
Lugar de trabajo: Bogotá (Meridiano 13/la felicidad) - Mosquera (Meridiano Novaterra)
Si cumples con el perfil y estás buscando una oportunidad para fortalecer tus competencias profesionales, postulate.")</f>
        <v>Empresa de alimentos requiere para su equipo de trabajo hombres y mujeres para desempeñar el cargo de Pasante / Aprendiz de Cocina. Buscamos personas apasionadas por el sector gastronómico, orientadas al detalle, el orden y el trabajo en equipo.
Condiciones de la vacante:
Objetivo de la práctica: Desarrollo de habilidades operativas en mise en place, estandarización de preparación de platos, manejo de inventarios e higiene alimentaria.
Tipo de contrato: Convenio de pasantía / Aprendizaje.
Horario: Rotativos/ ajustado a horarios de estudio..
Lugar de trabajo: Bogotá (Meridiano 13/la felicidad) - Mosquera (Meridiano Novaterra)
Si cumples con el perfil y estás buscando una oportunidad para fortalecer tus competencias profesionales, postulate.</v>
      </c>
      <c r="E20" s="7" t="str">
        <f>IFERROR(__xludf.DUMMYFUNCTION("""COMPUTED_VALUE"""),"Si")</f>
        <v>Si</v>
      </c>
      <c r="F20" s="6" t="str">
        <f>IFERROR(__xludf.DUMMYFUNCTION("""COMPUTED_VALUE"""),"Bogotá (Chia, Cota, Sopó, Cajicá y alrededores)")</f>
        <v>Bogotá (Chia, Cota, Sopó, Cajicá y alrededores)</v>
      </c>
      <c r="G20" s="6" t="str">
        <f>IFERROR(__xludf.DUMMYFUNCTION("""COMPUTED_VALUE"""),"Gastronomía")</f>
        <v>Gastronomía</v>
      </c>
      <c r="H20" s="6" t="str">
        <f>IFERROR(__xludf.DUMMYFUNCTION("""COMPUTED_VALUE"""),"Menos de 1 SMMLV")</f>
        <v>Menos de 1 SMMLV</v>
      </c>
      <c r="I20" s="8">
        <f>IFERROR(__xludf.DUMMYFUNCTION("""COMPUTED_VALUE"""),46235.0)</f>
        <v>46235</v>
      </c>
      <c r="J20" s="8">
        <f>IFERROR(__xludf.DUMMYFUNCTION("""COMPUTED_VALUE"""),46325.0)</f>
        <v>46325</v>
      </c>
      <c r="K20" s="7" t="str">
        <f>IFERROR(__xludf.DUMMYFUNCTION("""COMPUTED_VALUE"""),"chefejecutivo@grupowengyong.com")</f>
        <v>chefejecutivo@grupowengyong.com</v>
      </c>
      <c r="L20" s="3"/>
      <c r="M20" s="3"/>
      <c r="N20" s="3"/>
      <c r="O20" s="3"/>
      <c r="P20" s="3"/>
      <c r="Q20" s="3"/>
      <c r="R20" s="3"/>
      <c r="S20" s="3"/>
      <c r="T20" s="3"/>
      <c r="U20" s="3"/>
      <c r="V20" s="3"/>
      <c r="W20" s="3"/>
      <c r="X20" s="3"/>
      <c r="Y20" s="3"/>
    </row>
    <row r="21">
      <c r="A21" s="6" t="str">
        <f>IFERROR(__xludf.DUMMYFUNCTION("""COMPUTED_VALUE"""),"PUBLICIS GROUPE - MMS COMUNICACIONES")</f>
        <v>PUBLICIS GROUPE - MMS COMUNICACIONES</v>
      </c>
      <c r="B21" s="6" t="str">
        <f>IFERROR(__xludf.DUMMYFUNCTION("""COMPUTED_VALUE"""),"Ciclo tecnológico, Ciclo profesional")</f>
        <v>Ciclo tecnológico, Ciclo profesional</v>
      </c>
      <c r="C21" s="6" t="str">
        <f>IFERROR(__xludf.DUMMYFUNCTION("""COMPUTED_VALUE"""),"Tecnología en Mercadeo y Diseño Publicitario, Tecnología en Gestión Contable")</f>
        <v>Tecnología en Mercadeo y Diseño Publicitario, Tecnología en Gestión Contable</v>
      </c>
      <c r="D21" s="6" t="str">
        <f>IFERROR(__xludf.DUMMYFUNCTION("""COMPUTED_VALUE"""),"Estamos en búsqueda de estudiantes en Bogotá, para nuestro programa THE CUBS, para formación de talento joven, buscamos estudiantes con interés en realizar sus prácticas en el periodo de 2026-2 en nuestras agencias creativas y de medios de Grupo Publicis."&amp;"
A continuación, les compartimos más de nosotros y los cargos actuales que tenemos vigentes.
Copy: Participará en la creación de textos creativos y persuasivos para las marcas asignadas.
Campaign Manager: Brindará apoyo en la implementación, seguimiento"&amp;" y optimización de campañas digitales.
Community Manager: Gestionará contenido y estrategias de comunicación para redes sociales.
Data: Contribuirá al análisis de datos y generación de reportes para optimizar campañas.
Diseñador Gráfico: Desarrollará piez"&amp;"as visuales alineadas con los mensajes de las marcas asignadas.
Ejecutivo de Cuentas: Acompañará la gestión y seguimiento de clientes y sus requerimientos.
Ejecutivo de Compras: Ejecutará seguimiento y control de presupuestos del plan de medios.
Ejecutivo"&amp;" de Facturación (Administración): Gestionará procesos de facturación y seguimiento de operaciones administrativas.
Auxiliar Financiero (Administración): Acompañará la gestión de contratos y procesos financieros de la compañía.
Auxiliar de Salud y Segurida"&amp;"d en el Trabajo (Recursos Humanos): Contribuirá a la ejecución de actividades de Seguridad y Salud en el Trabajo enfocadas en el bienestar de los colaboradores.
Analista de Desarrollo (Recursos Humanos): Participará en programas orientados al desarrollo y"&amp;" crecimiento profesional de los colaboradores.
Analista de Bienestar (Recursos Humanos): Apoyará apoyo en actividades y estrategias orientadas al bienestar y experiencia de los colaboradores.")</f>
        <v>Estamos en búsqueda de estudiantes en Bogotá, para nuestro programa THE CUBS, para formación de talento joven, buscamos estudiantes con interés en realizar sus prácticas en el periodo de 2026-2 en nuestras agencias creativas y de medios de Grupo Publicis.
A continuación, les compartimos más de nosotros y los cargos actuales que tenemos vigentes.
Copy: Participará en la creación de textos creativos y persuasivos para las marcas asignadas.
Campaign Manager: Brindará apoyo en la implementación, seguimiento y optimización de campañas digitales.
Community Manager: Gestionará contenido y estrategias de comunicación para redes sociales.
Data: Contribuirá al análisis de datos y generación de reportes para optimizar campañas.
Diseñador Gráfico: Desarrollará piezas visuales alineadas con los mensajes de las marcas asignadas.
Ejecutivo de Cuentas: Acompañará la gestión y seguimiento de clientes y sus requerimientos.
Ejecutivo de Compras: Ejecutará seguimiento y control de presupuestos del plan de medios.
Ejecutivo de Facturación (Administración): Gestionará procesos de facturación y seguimiento de operaciones administrativas.
Auxiliar Financiero (Administración): Acompañará la gestión de contratos y procesos financieros de la compañía.
Auxiliar de Salud y Seguridad en el Trabajo (Recursos Humanos): Contribuirá a la ejecución de actividades de Seguridad y Salud en el Trabajo enfocadas en el bienestar de los colaboradores.
Analista de Desarrollo (Recursos Humanos): Participará en programas orientados al desarrollo y crecimiento profesional de los colaboradores.
Analista de Bienestar (Recursos Humanos): Apoyará apoyo en actividades y estrategias orientadas al bienestar y experiencia de los colaboradores.</v>
      </c>
      <c r="E21" s="7" t="str">
        <f>IFERROR(__xludf.DUMMYFUNCTION("""COMPUTED_VALUE"""),"Si")</f>
        <v>Si</v>
      </c>
      <c r="F21" s="6" t="str">
        <f>IFERROR(__xludf.DUMMYFUNCTION("""COMPUTED_VALUE"""),"Bogotá (Chia, Cota, Sopó, Cajicá y alrededores)")</f>
        <v>Bogotá (Chia, Cota, Sopó, Cajicá y alrededores)</v>
      </c>
      <c r="G21" s="6" t="str">
        <f>IFERROR(__xludf.DUMMYFUNCTION("""COMPUTED_VALUE"""),"Mercadeo y Publicidad, Contaduría Pública, Comercio Internacional, Estadística")</f>
        <v>Mercadeo y Publicidad, Contaduría Pública, Comercio Internacional, Estadística</v>
      </c>
      <c r="H21" s="6" t="str">
        <f>IFERROR(__xludf.DUMMYFUNCTION("""COMPUTED_VALUE"""),"1 SMMLV")</f>
        <v>1 SMMLV</v>
      </c>
      <c r="I21" s="8">
        <f>IFERROR(__xludf.DUMMYFUNCTION("""COMPUTED_VALUE"""),46234.0)</f>
        <v>46234</v>
      </c>
      <c r="J21" s="8">
        <f>IFERROR(__xludf.DUMMYFUNCTION("""COMPUTED_VALUE"""),46295.0)</f>
        <v>46295</v>
      </c>
      <c r="K21" s="7" t="str">
        <f>IFERROR(__xludf.DUMMYFUNCTION("""COMPUTED_VALUE"""),"fabiana.carbone@publicisproduction.com")</f>
        <v>fabiana.carbone@publicisproduction.com</v>
      </c>
      <c r="L21" s="3"/>
      <c r="M21" s="3"/>
      <c r="N21" s="3"/>
      <c r="O21" s="3"/>
      <c r="P21" s="3"/>
      <c r="Q21" s="3"/>
      <c r="R21" s="3"/>
      <c r="S21" s="3"/>
      <c r="T21" s="3"/>
      <c r="U21" s="3"/>
      <c r="V21" s="3"/>
      <c r="W21" s="3"/>
      <c r="X21" s="3"/>
      <c r="Y21" s="3"/>
    </row>
    <row r="22">
      <c r="A22" s="6" t="str">
        <f>IFERROR(__xludf.DUMMYFUNCTION("""COMPUTED_VALUE"""),"BEATHUB ENTERTAINMENT S.A.S(TUBOLETA, BREAKFASTLIVE, MOVISTAR ARENA, DAVIARENA, THUNDER PRODUCTION Y VENUES SNACKS)")</f>
        <v>BEATHUB ENTERTAINMENT S.A.S(TUBOLETA, BREAKFASTLIVE, MOVISTAR ARENA, DAVIARENA, THUNDER PRODUCTION Y VENUES SNACKS)</v>
      </c>
      <c r="B22" s="6" t="str">
        <f>IFERROR(__xludf.DUMMYFUNCTION("""COMPUTED_VALUE"""),"Ciclo tecnológico, Ciclo profesional")</f>
        <v>Ciclo tecnológico, Ciclo profesional</v>
      </c>
      <c r="C22" s="6" t="str">
        <f>IFERROR(__xludf.DUMMYFUNCTION("""COMPUTED_VALUE"""),"Tecnología en Mercadeo y Diseño Publicitario, Tecnología en Gestión Contable, Tecnología en Gestión de Comercio Exterior, Tecnología en Soporte de Telecomunicaciones, Tecnología en Desarrollo Informático")</f>
        <v>Tecnología en Mercadeo y Diseño Publicitario, Tecnología en Gestión Contable, Tecnología en Gestión de Comercio Exterior, Tecnología en Soporte de Telecomunicaciones, Tecnología en Desarrollo Informático</v>
      </c>
      <c r="D22" s="6" t="str">
        <f>IFERROR(__xludf.DUMMYFUNCTION("""COMPUTED_VALUE"""),"BeatHub, grupo empresarial conformado por compañías líderes del sector del entretenimiento y los eventos en vivo. Nos encontramos en búsqueda de estudiantes universitarios que deseen realizar su práctica profesional y desarrollar su potencial en un entorn"&amp;"o altamente dinámico, creativo y retador.                                                                               
1. Practicante Multimedia
Ubicación: Bogotá D.C.
Modalidad: Presencial
Tipo de vinculación: Práctica universitaria
Propósito del carg"&amp;"o
Apoyar al equipo de Video en la preparación, montaje, operación y desmontaje de los sistemas audiovisuales utilizados en conciertos, festivales y eventos en vivo, garantizando el correcto funcionamiento de las pantallas LED, sistemas de reproducción de "&amp;"contenido y distribución de señales de video, mientras desarrolla conocimientos técnicos en una de las industrias más dinámicas del país.
Funciones principales
Preproducción
•	Apoyar la revisión de riders técnicos de video de artistas y clientes.
•	Verifi"&amp;"car formatos, resoluciones, codecs y compatibilidad de contenidos.
•	Colaborar en la preparación de servidores de medios (Media Servers) y equipos de reproducción.
•	Apoyar la configuración de sistemas de distribución de señales de video (SDI, HDMI, fibra"&amp;" óptica, NDI, entre otros).
•	Participar en pruebas de funcionamiento de pantallas LED, monitores y equipos audiovisuales.
•	Apoyar la coordinación técnica con proveedores de video y pantallas LED.
Montaje
•	Apoyar la instalación y conexión de pantallas L"&amp;"ED, procesadores de video, escaladores, video switchers, convertidores de señal y monitores de referencia.
•	Organizar y etiquetar adecuadamente el cableado.
•	Participar en pruebas operativas y sincronización con las áreas de iluminación, audio y producc"&amp;"ión.
Durante el evento
•	Apoyar la operación de sistemas de reproducción de contenido visual.
•	Asistir en la ejecución de videos, visuales, intros y animaciones.
•	Monitorear la calidad de imagen.
•	Reportar oportunamente novedades técnicas.
•	Mantener c"&amp;"omunicación con los equipos técnicos y de producción para asegurar la correcta ejecución del espectáculo.
Postevento
•	Apoyar el apagado y desmontaje de equipos.
•	Verificar el estado del material audiovisual.
•	Empacar equipos siguiendo los protocolos e"&amp;"stablecidos.
•	Reportar daños o novedades técnicas.
Formación académica
Estudiantes técnicos, tecnólogos o profesionales de:
•	Producción Multimedia.
•	Producción Audiovisual.
•	Ingeniería Multimedia.
•	Medios Audiovisuales.
•	Tecnología en Producción de "&amp;"Eventos.
•	Tecnología en Sonido y Video.
•	Carreras afines.
Conocimientos deseables
•	Sistemas de pantallas LED (Novastar, Brompton, Colorlight u otros).
•	Video Switchers (Blackmagic ATEM, Barco, Roland, Analog Way).
•	Resoluciones, formatos y codecs de "&amp;"video.
•	Distribución de señales mediante SDI, HDMI, fibra óptica y NDI.
•	Media Servers (Resolume Arena, Disguise, Watchout, Millumin, Hippotizer).
•	Protocolos de video profesional.
•	Diagnóstico básico y solución de fallas técnicas.
No es indispensable"&amp;" dominar todas estas herramientas; buscamos personas con alta disposición de aprendizaje y pasión por la industria audiovisual.
Perfil que buscamos
•	Interés por la producción audiovisual y los eventos en vivo.
•	Excelente actitud de aprendizaje.
•	Organ"&amp;"ización y cuidado de equipos tecnológicos.
•	Capacidad para trabajar bajo presión.
•	Trabajo en equipo y comunicación efectiva.
•	Proactividad, responsabilidad y orientación al detalle.
Disponibilidad
•	Presencial en Bogotá D.C.
•	Disponibilidad para even"&amp;"tos en horarios diurnos, nocturnos, fines de semana y festivos según programación.
¿Qué ofrecemos?
•	Aprendizaje práctico en una de las compañías referentes de producción técnica de eventos en Colombia.
•	Participación en conciertos, festivales y espectác"&amp;"ulos de gran formato.
•	Acompañamiento de profesionales expertos en producción audiovisual.
•	Crecimiento y desarrollo profesional dentro de la industria del entretenimiento.
2.  Practicante de Comunicación Organizacional y Cultura 
Ubicación: Bogotá D.C"&amp;".
Modalidad: Presencial
Tipo de vinculación: Práctica universitaria
¿Te apasiona crear experiencias, comunicar ideas que conectan y transformar la cultura desde adentro?
En BeatHub creemos que las mejores experiencias comienzan con las personas. Buscamos "&amp;"estudiantes creativos, proactivos y con ganas de aprender para apoyar el fortalecimiento de la cultura organizacional de nuestras compañías: BreakfastLive, Tuboleta, Thunder y BeatHub.
Funciones principales
•	Diseñar y digitalizar contenidos para la indu"&amp;"cción organizacional.
•	Apoyar la creación de capacitaciones virtuales y presenciales.
•	Desarrollar piezas gráficas, presentaciones, videos, reels y contenidos audiovisuales para comunicación interna.
•	Apoyar actividades de bienestar y cultura organizac"&amp;"ional.
•	Participar en iniciativas de Employer Branding y marca empleadora.
•	Crear contenido para redes sociales que destaque nuestra cultura y experiencia del colaborador.
•	Proponer ideas innovadoras que fortalezcan la comunicación y el compromiso de l"&amp;"os equipos.
Perfil académico
Estudiantes de:
•	Comunicación Social.
•	Comunicación Organizacional.
•	Publicidad.
•	Mercadeo.
•	Diseño Gráfico.
•	Producción Multimedia.
•	Carreras afines.
Requisitos
•	Excelente redacción y comunicación.
•	Creatividad e ini"&amp;"ciativa.
•	Manejo de herramientas como Canva, PowerPoint, CapCut, Adobe Creative Suite o similares.
•	Interés por la cultura organizacional, la experiencia del colaborador y la creación de contenido digital.
¿Por qué BeatHub?
Porque aquí no solo organizam"&amp;"os eventos; creamos experiencias que conectan a millones de personas. Queremos que nuestra cultura interna sea tan memorable como los eventos que realizamos, brindando a nuestros practicantes una experiencia de aprendizaje real, cercana y de alto impacto."&amp;"
")</f>
        <v>BeatHub, grupo empresarial conformado por compañías líderes del sector del entretenimiento y los eventos en vivo. Nos encontramos en búsqueda de estudiantes universitarios que deseen realizar su práctica profesional y desarrollar su potencial en un entorno altamente dinámico, creativo y retador.                                                                               
1. Practicante Multimedia
Ubicación: Bogotá D.C.
Modalidad: Presencial
Tipo de vinculación: Práctica universitaria
Propósito del cargo
Apoyar al equipo de Video en la preparación, montaje, operación y desmontaje de los sistemas audiovisuales utilizados en conciertos, festivales y eventos en vivo, garantizando el correcto funcionamiento de las pantallas LED, sistemas de reproducción de contenido y distribución de señales de video, mientras desarrolla conocimientos técnicos en una de las industrias más dinámicas del país.
Funciones principales
Preproducción
•	Apoyar la revisión de riders técnicos de video de artistas y clientes.
•	Verificar formatos, resoluciones, codecs y compatibilidad de contenidos.
•	Colaborar en la preparación de servidores de medios (Media Servers) y equipos de reproducción.
•	Apoyar la configuración de sistemas de distribución de señales de video (SDI, HDMI, fibra óptica, NDI, entre otros).
•	Participar en pruebas de funcionamiento de pantallas LED, monitores y equipos audiovisuales.
•	Apoyar la coordinación técnica con proveedores de video y pantallas LED.
Montaje
•	Apoyar la instalación y conexión de pantallas LED, procesadores de video, escaladores, video switchers, convertidores de señal y monitores de referencia.
•	Organizar y etiquetar adecuadamente el cableado.
•	Participar en pruebas operativas y sincronización con las áreas de iluminación, audio y producción.
Durante el evento
•	Apoyar la operación de sistemas de reproducción de contenido visual.
•	Asistir en la ejecución de videos, visuales, intros y animaciones.
•	Monitorear la calidad de imagen.
•	Reportar oportunamente novedades técnicas.
•	Mantener comunicación con los equipos técnicos y de producción para asegurar la correcta ejecución del espectáculo.
Postevento
•	Apoyar el apagado y desmontaje de equipos.
•	Verificar el estado del material audiovisual.
•	Empacar equipos siguiendo los protocolos establecidos.
•	Reportar daños o novedades técnicas.
Formación académica
Estudiantes técnicos, tecnólogos o profesionales de:
•	Producción Multimedia.
•	Producción Audiovisual.
•	Ingeniería Multimedia.
•	Medios Audiovisuales.
•	Tecnología en Producción de Eventos.
•	Tecnología en Sonido y Video.
•	Carreras afines.
Conocimientos deseables
•	Sistemas de pantallas LED (Novastar, Brompton, Colorlight u otros).
•	Video Switchers (Blackmagic ATEM, Barco, Roland, Analog Way).
•	Resoluciones, formatos y codecs de video.
•	Distribución de señales mediante SDI, HDMI, fibra óptica y NDI.
•	Media Servers (Resolume Arena, Disguise, Watchout, Millumin, Hippotizer).
•	Protocolos de video profesional.
•	Diagnóstico básico y solución de fallas técnicas.
No es indispensable dominar todas estas herramientas; buscamos personas con alta disposición de aprendizaje y pasión por la industria audiovisual.
Perfil que buscamos
•	Interés por la producción audiovisual y los eventos en vivo.
•	Excelente actitud de aprendizaje.
•	Organización y cuidado de equipos tecnológicos.
•	Capacidad para trabajar bajo presión.
•	Trabajo en equipo y comunicación efectiva.
•	Proactividad, responsabilidad y orientación al detalle.
Disponibilidad
•	Presencial en Bogotá D.C.
•	Disponibilidad para eventos en horarios diurnos, nocturnos, fines de semana y festivos según programación.
¿Qué ofrecemos?
•	Aprendizaje práctico en una de las compañías referentes de producción técnica de eventos en Colombia.
•	Participación en conciertos, festivales y espectáculos de gran formato.
•	Acompañamiento de profesionales expertos en producción audiovisual.
•	Crecimiento y desarrollo profesional dentro de la industria del entretenimiento.
2.  Practicante de Comunicación Organizacional y Cultura 
Ubicación: Bogotá D.C.
Modalidad: Presencial
Tipo de vinculación: Práctica universitaria
¿Te apasiona crear experiencias, comunicar ideas que conectan y transformar la cultura desde adentro?
En BeatHub creemos que las mejores experiencias comienzan con las personas. Buscamos estudiantes creativos, proactivos y con ganas de aprender para apoyar el fortalecimiento de la cultura organizacional de nuestras compañías: BreakfastLive, Tuboleta, Thunder y BeatHub.
Funciones principales
•	Diseñar y digitalizar contenidos para la inducción organizacional.
•	Apoyar la creación de capacitaciones virtuales y presenciales.
•	Desarrollar piezas gráficas, presentaciones, videos, reels y contenidos audiovisuales para comunicación interna.
•	Apoyar actividades de bienestar y cultura organizacional.
•	Participar en iniciativas de Employer Branding y marca empleadora.
•	Crear contenido para redes sociales que destaque nuestra cultura y experiencia del colaborador.
•	Proponer ideas innovadoras que fortalezcan la comunicación y el compromiso de los equipos.
Perfil académico
Estudiantes de:
•	Comunicación Social.
•	Comunicación Organizacional.
•	Publicidad.
•	Mercadeo.
•	Diseño Gráfico.
•	Producción Multimedia.
•	Carreras afines.
Requisitos
•	Excelente redacción y comunicación.
•	Creatividad e iniciativa.
•	Manejo de herramientas como Canva, PowerPoint, CapCut, Adobe Creative Suite o similares.
•	Interés por la cultura organizacional, la experiencia del colaborador y la creación de contenido digital.
¿Por qué BeatHub?
Porque aquí no solo organizamos eventos; creamos experiencias que conectan a millones de personas. Queremos que nuestra cultura interna sea tan memorable como los eventos que realizamos, brindando a nuestros practicantes una experiencia de aprendizaje real, cercana y de alto impacto.
</v>
      </c>
      <c r="E22" s="7"/>
      <c r="F22" s="6" t="str">
        <f>IFERROR(__xludf.DUMMYFUNCTION("""COMPUTED_VALUE"""),"Bogotá (Chia, Cota, Sopó, Cajicá y alrededores)")</f>
        <v>Bogotá (Chia, Cota, Sopó, Cajicá y alrededores)</v>
      </c>
      <c r="G22" s="6" t="str">
        <f>IFERROR(__xludf.DUMMYFUNCTION("""COMPUTED_VALUE"""),"Mercadeo y Publicidad, Contaduría Pública, Comercio Internacional, Administración de Empresas Virtual, Ingeniería Industrial, Ingeniería Electrónica, Ingeniería de Sistemas, Estadística")</f>
        <v>Mercadeo y Publicidad, Contaduría Pública, Comercio Internacional, Administración de Empresas Virtual, Ingeniería Industrial, Ingeniería Electrónica, Ingeniería de Sistemas, Estadística</v>
      </c>
      <c r="H22" s="6" t="str">
        <f>IFERROR(__xludf.DUMMYFUNCTION("""COMPUTED_VALUE"""),"Menos de 1 SMMLV")</f>
        <v>Menos de 1 SMMLV</v>
      </c>
      <c r="I22" s="8">
        <f>IFERROR(__xludf.DUMMYFUNCTION("""COMPUTED_VALUE"""),46237.0)</f>
        <v>46237</v>
      </c>
      <c r="J22" s="8">
        <f>IFERROR(__xludf.DUMMYFUNCTION("""COMPUTED_VALUE"""),46402.0)</f>
        <v>46402</v>
      </c>
      <c r="K22" s="7" t="str">
        <f>IFERROR(__xludf.DUMMYFUNCTION("""COMPUTED_VALUE"""),"daniela.mendoza@tuboleta.com")</f>
        <v>daniela.mendoza@tuboleta.com</v>
      </c>
      <c r="L22" s="3"/>
      <c r="M22" s="3"/>
      <c r="N22" s="3"/>
      <c r="O22" s="3"/>
      <c r="P22" s="3"/>
      <c r="Q22" s="3"/>
      <c r="R22" s="3"/>
      <c r="S22" s="3"/>
      <c r="T22" s="3"/>
      <c r="U22" s="3"/>
      <c r="V22" s="3"/>
      <c r="W22" s="3"/>
      <c r="X22" s="3"/>
      <c r="Y22" s="3"/>
    </row>
    <row r="23">
      <c r="A23" s="6" t="str">
        <f>IFERROR(__xludf.DUMMYFUNCTION("""COMPUTED_VALUE"""),"INNOVATEQ")</f>
        <v>INNOVATEQ</v>
      </c>
      <c r="B23" s="6" t="str">
        <f>IFERROR(__xludf.DUMMYFUNCTION("""COMPUTED_VALUE"""),"Ciclo tecnológico")</f>
        <v>Ciclo tecnológico</v>
      </c>
      <c r="C23" s="6" t="str">
        <f>IFERROR(__xludf.DUMMYFUNCTION("""COMPUTED_VALUE"""),"Tecnología en Gestión Contable, Tecnología en Mecánica Automotriz")</f>
        <v>Tecnología en Gestión Contable, Tecnología en Mecánica Automotriz</v>
      </c>
      <c r="D23" s="6" t="str">
        <f>IFERROR(__xludf.DUMMYFUNCTION("""COMPUTED_VALUE"""),"Somos una empresa del sector automotriz y de autopartes y buscamos talento en formación que quiera desarrollar su etapa práctica con nosotros.
📍 Ubicación: Bogotá
📄 Vinculación: Contrato de aprendizaje, conforme a la normatividad vigente
🗓️ Horario: L"&amp;"unes a viernes
🚀 Beneficios: Aprendizaje continuo, experiencia en un entorno empresarial real y oportunidades de crecimiento y desarrollo profesional.
Buscamos personas comprometidas, proactivas y con muchas ganas de aprender y fortalecer sus competenci"&amp;"as.")</f>
        <v>Somos una empresa del sector automotriz y de autopartes y buscamos talento en formación que quiera desarrollar su etapa práctica con nosotros.
📍 Ubicación: Bogotá
📄 Vinculación: Contrato de aprendizaje, conforme a la normatividad vigente
🗓️ Horario: Lunes a viernes
🚀 Beneficios: Aprendizaje continuo, experiencia en un entorno empresarial real y oportunidades de crecimiento y desarrollo profesional.
Buscamos personas comprometidas, proactivas y con muchas ganas de aprender y fortalecer sus competencias.</v>
      </c>
      <c r="E23" s="7" t="str">
        <f>IFERROR(__xludf.DUMMYFUNCTION("""COMPUTED_VALUE"""),"Si")</f>
        <v>Si</v>
      </c>
      <c r="F23" s="6" t="str">
        <f>IFERROR(__xludf.DUMMYFUNCTION("""COMPUTED_VALUE"""),"Bogotá (Chia, Cota, Sopó, Cajicá y alrededores)")</f>
        <v>Bogotá (Chia, Cota, Sopó, Cajicá y alrededores)</v>
      </c>
      <c r="G23" s="6" t="str">
        <f>IFERROR(__xludf.DUMMYFUNCTION("""COMPUTED_VALUE"""),"Contaduría Pública, Administración de Empresas Virtual, Ingeniería Mecatrónica, Ingeniería Mecánica")</f>
        <v>Contaduría Pública, Administración de Empresas Virtual, Ingeniería Mecatrónica, Ingeniería Mecánica</v>
      </c>
      <c r="H23" s="6" t="str">
        <f>IFERROR(__xludf.DUMMYFUNCTION("""COMPUTED_VALUE"""),"De 1 SMMLV a 2 SMMLV")</f>
        <v>De 1 SMMLV a 2 SMMLV</v>
      </c>
      <c r="I23" s="8">
        <f>IFERROR(__xludf.DUMMYFUNCTION("""COMPUTED_VALUE"""),46237.0)</f>
        <v>46237</v>
      </c>
      <c r="J23" s="8">
        <f>IFERROR(__xludf.DUMMYFUNCTION("""COMPUTED_VALUE"""),46298.0)</f>
        <v>46298</v>
      </c>
      <c r="K23" s="7" t="str">
        <f>IFERROR(__xludf.DUMMYFUNCTION("""COMPUTED_VALUE"""),"rossmery.parraga@innovateq.com.co")</f>
        <v>rossmery.parraga@innovateq.com.co</v>
      </c>
      <c r="L23" s="3"/>
      <c r="M23" s="3"/>
      <c r="N23" s="3"/>
      <c r="O23" s="3"/>
      <c r="P23" s="3"/>
      <c r="Q23" s="3"/>
      <c r="R23" s="3"/>
      <c r="S23" s="3"/>
      <c r="T23" s="3"/>
      <c r="U23" s="3"/>
      <c r="V23" s="3"/>
      <c r="W23" s="3"/>
      <c r="X23" s="3"/>
      <c r="Y23" s="3"/>
    </row>
    <row r="24">
      <c r="A24" s="6" t="str">
        <f>IFERROR(__xludf.DUMMYFUNCTION("""COMPUTED_VALUE"""),"IFX NETWORKS COLOMBIA S A S")</f>
        <v>IFX NETWORKS COLOMBIA S A S</v>
      </c>
      <c r="B24" s="6" t="str">
        <f>IFERROR(__xludf.DUMMYFUNCTION("""COMPUTED_VALUE"""),"Ciclo tecnológico")</f>
        <v>Ciclo tecnológico</v>
      </c>
      <c r="C24" s="6" t="str">
        <f>IFERROR(__xludf.DUMMYFUNCTION("""COMPUTED_VALUE"""),"Tecnología en Gestión Contable, Tecnología en Gestión de Comercio Exterior, Tecnología en Soporte de Telecomunicaciones")</f>
        <v>Tecnología en Gestión Contable, Tecnología en Gestión de Comercio Exterior, Tecnología en Soporte de Telecomunicaciones</v>
      </c>
      <c r="D24" s="6" t="str">
        <f>IFERROR(__xludf.DUMMYFUNCTION("""COMPUTED_VALUE"""),"Empresa multinacional del sector de telecomunicaciones, requiere para su equipo aprendices para practicas en recursos humanos, comercio exterior, comercial e ingenieria.
Indispensable no haber tenido un contrato de aprendizaje previamente o estar habilita"&amp;"do en cadena de formación.
Tener aval para realizar practicas bajo contrato de aprendizaje SENA.}
Deseable: disponibilidad y aval inmediato para la practica.
Excelente actitud de servicio, organización, comunicación y ganas de aprender.")</f>
        <v>Empresa multinacional del sector de telecomunicaciones, requiere para su equipo aprendices para practicas en recursos humanos, comercio exterior, comercial e ingenieria.
Indispensable no haber tenido un contrato de aprendizaje previamente o estar habilitado en cadena de formación.
Tener aval para realizar practicas bajo contrato de aprendizaje SENA.}
Deseable: disponibilidad y aval inmediato para la practica.
Excelente actitud de servicio, organización, comunicación y ganas de aprender.</v>
      </c>
      <c r="E24" s="7" t="str">
        <f>IFERROR(__xludf.DUMMYFUNCTION("""COMPUTED_VALUE"""),"Si")</f>
        <v>Si</v>
      </c>
      <c r="F24" s="6" t="str">
        <f>IFERROR(__xludf.DUMMYFUNCTION("""COMPUTED_VALUE"""),"Bogotá (Chia, Cota, Sopó, Cajicá y alrededores)")</f>
        <v>Bogotá (Chia, Cota, Sopó, Cajicá y alrededores)</v>
      </c>
      <c r="G24" s="6" t="str">
        <f>IFERROR(__xludf.DUMMYFUNCTION("""COMPUTED_VALUE"""),"Mercadeo y Publicidad, Contaduría Pública, Comercio Internacional, Administración de Empresas Virtual, Ingeniería de Sistemas")</f>
        <v>Mercadeo y Publicidad, Contaduría Pública, Comercio Internacional, Administración de Empresas Virtual, Ingeniería de Sistemas</v>
      </c>
      <c r="H24" s="6" t="str">
        <f>IFERROR(__xludf.DUMMYFUNCTION("""COMPUTED_VALUE"""),"1 SMMLV")</f>
        <v>1 SMMLV</v>
      </c>
      <c r="I24" s="8">
        <f>IFERROR(__xludf.DUMMYFUNCTION("""COMPUTED_VALUE"""),46238.0)</f>
        <v>46238</v>
      </c>
      <c r="J24" s="8">
        <f>IFERROR(__xludf.DUMMYFUNCTION("""COMPUTED_VALUE"""),46371.0)</f>
        <v>46371</v>
      </c>
      <c r="K24" s="7" t="str">
        <f>IFERROR(__xludf.DUMMYFUNCTION("""COMPUTED_VALUE"""),"jreal@ifxcorp.com")</f>
        <v>jreal@ifxcorp.com</v>
      </c>
      <c r="L24" s="3"/>
      <c r="M24" s="3"/>
      <c r="N24" s="3"/>
      <c r="O24" s="3"/>
      <c r="P24" s="3"/>
      <c r="Q24" s="3"/>
      <c r="R24" s="3"/>
      <c r="S24" s="3"/>
      <c r="T24" s="3"/>
      <c r="U24" s="3"/>
      <c r="V24" s="3"/>
      <c r="W24" s="3"/>
      <c r="X24" s="3"/>
      <c r="Y24" s="3"/>
    </row>
    <row r="25">
      <c r="A25" s="6" t="str">
        <f>IFERROR(__xludf.DUMMYFUNCTION("""COMPUTED_VALUE"""),"IMCOLMEDICA S.A.")</f>
        <v>IMCOLMEDICA S.A.</v>
      </c>
      <c r="B25" s="6" t="str">
        <f>IFERROR(__xludf.DUMMYFUNCTION("""COMPUTED_VALUE"""),"Ciclo tecnológico")</f>
        <v>Ciclo tecnológico</v>
      </c>
      <c r="C25" s="6" t="str">
        <f>IFERROR(__xludf.DUMMYFUNCTION("""COMPUTED_VALUE"""),"Tecnología en Gestión Contable")</f>
        <v>Tecnología en Gestión Contable</v>
      </c>
      <c r="D25" s="6" t="str">
        <f>IFERROR(__xludf.DUMMYFUNCTION("""COMPUTED_VALUE"""),"Empresa importadora de dispositivos médicos, requiere para su equipo de trabajo hombre y mujeres el cargo de aprendiz en contabilidad Beneficios destacados: Contrato directo de aprendizaje Salario base: $1.750.905 más auxilio de transporte y todo lo de Le"&amp;"y Horario de lunes a viernes: 7:00 a.m. – 4:25 p.m. Oportunidad de crecimiento en una empresa sólida y reconocida. Tipo de puesto: Tiempo completo")</f>
        <v>Empresa importadora de dispositivos médicos, requiere para su equipo de trabajo hombre y mujeres el cargo de aprendiz en contabilidad Beneficios destacados: Contrato directo de aprendizaje Salario base: $1.750.905 más auxilio de transporte y todo lo de Ley Horario de lunes a viernes: 7:00 a.m. – 4:25 p.m. Oportunidad de crecimiento en una empresa sólida y reconocida. Tipo de puesto: Tiempo completo</v>
      </c>
      <c r="E25" s="7" t="str">
        <f>IFERROR(__xludf.DUMMYFUNCTION("""COMPUTED_VALUE"""),"Si")</f>
        <v>Si</v>
      </c>
      <c r="F25" s="6" t="str">
        <f>IFERROR(__xludf.DUMMYFUNCTION("""COMPUTED_VALUE"""),"Bogotá (Chia, Cota, Sopó, Cajicá y alrededores)")</f>
        <v>Bogotá (Chia, Cota, Sopó, Cajicá y alrededores)</v>
      </c>
      <c r="G25" s="6" t="str">
        <f>IFERROR(__xludf.DUMMYFUNCTION("""COMPUTED_VALUE"""),"Contaduría Pública")</f>
        <v>Contaduría Pública</v>
      </c>
      <c r="H25" s="6" t="str">
        <f>IFERROR(__xludf.DUMMYFUNCTION("""COMPUTED_VALUE"""),"1 SMMLV")</f>
        <v>1 SMMLV</v>
      </c>
      <c r="I25" s="8">
        <f>IFERROR(__xludf.DUMMYFUNCTION("""COMPUTED_VALUE"""),46238.0)</f>
        <v>46238</v>
      </c>
      <c r="J25" s="8">
        <f>IFERROR(__xludf.DUMMYFUNCTION("""COMPUTED_VALUE"""),46295.0)</f>
        <v>46295</v>
      </c>
      <c r="K25" s="7" t="str">
        <f>IFERROR(__xludf.DUMMYFUNCTION("""COMPUTED_VALUE"""),"asistente.administrativo@imcolmedica.com.co")</f>
        <v>asistente.administrativo@imcolmedica.com.co</v>
      </c>
      <c r="L25" s="3"/>
      <c r="M25" s="3"/>
      <c r="N25" s="3"/>
      <c r="O25" s="3"/>
      <c r="P25" s="3"/>
      <c r="Q25" s="3"/>
      <c r="R25" s="3"/>
      <c r="S25" s="3"/>
      <c r="T25" s="3"/>
      <c r="U25" s="3"/>
      <c r="V25" s="3"/>
      <c r="W25" s="3"/>
      <c r="X25" s="3"/>
      <c r="Y25" s="3"/>
    </row>
    <row r="26">
      <c r="A26" s="6" t="str">
        <f>IFERROR(__xludf.DUMMYFUNCTION("""COMPUTED_VALUE"""),"ALIMENTOS CÁRNICOS S.A.S")</f>
        <v>ALIMENTOS CÁRNICOS S.A.S</v>
      </c>
      <c r="B26" s="6" t="str">
        <f>IFERROR(__xludf.DUMMYFUNCTION("""COMPUTED_VALUE"""),"Ciclo tecnológico, Ciclo profesional")</f>
        <v>Ciclo tecnológico, Ciclo profesional</v>
      </c>
      <c r="C26" s="6" t="str">
        <f>IFERROR(__xludf.DUMMYFUNCTION("""COMPUTED_VALUE"""),"Tecnología en Gestión de Comercio Exterior, Tecnología en Procesos Químicos Industriales, Tecnología en Gestión de Procesos Industriales, Tecnología en Gestión Ambiental")</f>
        <v>Tecnología en Gestión de Comercio Exterior, Tecnología en Procesos Químicos Industriales, Tecnología en Gestión de Procesos Industriales, Tecnología en Gestión Ambiental</v>
      </c>
      <c r="D26" s="6" t="str">
        <f>IFERROR(__xludf.DUMMYFUNCTION("""COMPUTED_VALUE"""),"En Alimentos Cárnicos Nutresa buscamos estudiantes técnicos, tecnólogos y profesionales que deseen fortalecer sus conocimientos en procesos de manufactura de alimentos, calidad e ingeniería de procesos, Planta de producción, Logística de distribución abas"&amp;"tecimiento. La persona apoyará actividades relacionadas con el seguimiento de indicadores, control de calidad, estandarización de procesos, análisis de información, mejora continua, validación de procesos y acompañamiento a proyectos de productividad e in"&amp;"ocuidad alimentaria.
Competencias:
Orientación al detalle.
Capacidad de análisis.
Organización y planificación.
Comunicación efectiva.
Proactividad y disposición para aprender.
¿Qué ofrecemos?
La oportunidad de desarrollar experiencia práctica en una comp"&amp;"añía líder del sector de alimentos, participando en proyectos que contribuyen al aseguramiento de la calidad, la optimización de procesos y la excelencia operacional.")</f>
        <v>En Alimentos Cárnicos Nutresa buscamos estudiantes técnicos, tecnólogos y profesionales que deseen fortalecer sus conocimientos en procesos de manufactura de alimentos, calidad e ingeniería de procesos, Planta de producción, Logística de distribución abastecimiento. La persona apoyará actividades relacionadas con el seguimiento de indicadores, control de calidad, estandarización de procesos, análisis de información, mejora continua, validación de procesos y acompañamiento a proyectos de productividad e inocuidad alimentaria.
Competencias:
Orientación al detalle.
Capacidad de análisis.
Organización y planificación.
Comunicación efectiva.
Proactividad y disposición para aprender.
¿Qué ofrecemos?
La oportunidad de desarrollar experiencia práctica en una compañía líder del sector de alimentos, participando en proyectos que contribuyen al aseguramiento de la calidad, la optimización de procesos y la excelencia operacional.</v>
      </c>
      <c r="E26" s="7" t="str">
        <f>IFERROR(__xludf.DUMMYFUNCTION("""COMPUTED_VALUE"""),"Si")</f>
        <v>Si</v>
      </c>
      <c r="F26" s="6" t="str">
        <f>IFERROR(__xludf.DUMMYFUNCTION("""COMPUTED_VALUE"""),"Bogotá (Chia, Cota, Sopó, Cajicá y alrededores)")</f>
        <v>Bogotá (Chia, Cota, Sopó, Cajicá y alrededores)</v>
      </c>
      <c r="G26" s="6" t="str">
        <f>IFERROR(__xludf.DUMMYFUNCTION("""COMPUTED_VALUE"""),"Ingeniería Química, Ingeniería Industrial, Ingeniería Ambiental, Estadística")</f>
        <v>Ingeniería Química, Ingeniería Industrial, Ingeniería Ambiental, Estadística</v>
      </c>
      <c r="H26" s="6" t="str">
        <f>IFERROR(__xludf.DUMMYFUNCTION("""COMPUTED_VALUE"""),"1 SMMLV")</f>
        <v>1 SMMLV</v>
      </c>
      <c r="I26" s="8">
        <f>IFERROR(__xludf.DUMMYFUNCTION("""COMPUTED_VALUE"""),46241.0)</f>
        <v>46241</v>
      </c>
      <c r="J26" s="8">
        <f>IFERROR(__xludf.DUMMYFUNCTION("""COMPUTED_VALUE"""),46311.0)</f>
        <v>46311</v>
      </c>
      <c r="K26" s="7" t="str">
        <f>IFERROR(__xludf.DUMMYFUNCTION("""COMPUTED_VALUE"""),"jegarcia@alimentoscarnicos.com.co")</f>
        <v>jegarcia@alimentoscarnicos.com.co</v>
      </c>
      <c r="L26" s="3"/>
      <c r="M26" s="3"/>
      <c r="N26" s="3"/>
      <c r="O26" s="3"/>
      <c r="P26" s="3"/>
      <c r="Q26" s="3"/>
      <c r="R26" s="3"/>
      <c r="S26" s="3"/>
      <c r="T26" s="3"/>
      <c r="U26" s="3"/>
      <c r="V26" s="3"/>
      <c r="W26" s="3"/>
      <c r="X26" s="3"/>
      <c r="Y26" s="3"/>
    </row>
    <row r="27">
      <c r="A27" s="6" t="str">
        <f>IFERROR(__xludf.DUMMYFUNCTION("""COMPUTED_VALUE"""),"GRUPO CHAMBAKÚ S.A.S")</f>
        <v>GRUPO CHAMBAKÚ S.A.S</v>
      </c>
      <c r="B27" s="6" t="str">
        <f>IFERROR(__xludf.DUMMYFUNCTION("""COMPUTED_VALUE"""),"Ciclo tecnológico, Ciclo profesional")</f>
        <v>Ciclo tecnológico, Ciclo profesional</v>
      </c>
      <c r="C27" s="6" t="str">
        <f>IFERROR(__xludf.DUMMYFUNCTION("""COMPUTED_VALUE"""),"Tecnología en Gestión Gastronómica, Tecnología en Mercadeo y Diseño Publicitario")</f>
        <v>Tecnología en Gestión Gastronómica, Tecnología en Mercadeo y Diseño Publicitario</v>
      </c>
      <c r="D27" s="6" t="str">
        <f>IFERROR(__xludf.DUMMYFUNCTION("""COMPUTED_VALUE"""),"El restaurante Chambakú bajo la figura legal de Grupo Chambakú busca complementar su equipo de trabajo  en acción y conocimiento con estudiantes de gastronomía y publicidad, que sean capaces de responder a las exigencias modernas de este mercado y entren "&amp;"en la conversación de aprender  y transmitir conocimientos e innovación en su ejercicio practico.   ")</f>
        <v>El restaurante Chambakú bajo la figura legal de Grupo Chambakú busca complementar su equipo de trabajo  en acción y conocimiento con estudiantes de gastronomía y publicidad, que sean capaces de responder a las exigencias modernas de este mercado y entren en la conversación de aprender  y transmitir conocimientos e innovación en su ejercicio practico.   </v>
      </c>
      <c r="E27" s="7" t="str">
        <f>IFERROR(__xludf.DUMMYFUNCTION("""COMPUTED_VALUE"""),"No")</f>
        <v>No</v>
      </c>
      <c r="F27" s="6" t="str">
        <f>IFERROR(__xludf.DUMMYFUNCTION("""COMPUTED_VALUE"""),"Bogotá (Chia, Cota, Sopó, Cajicá y alrededores)")</f>
        <v>Bogotá (Chia, Cota, Sopó, Cajicá y alrededores)</v>
      </c>
      <c r="G27" s="6" t="str">
        <f>IFERROR(__xludf.DUMMYFUNCTION("""COMPUTED_VALUE"""),"Gastronomía, Mercadeo y Publicidad")</f>
        <v>Gastronomía, Mercadeo y Publicidad</v>
      </c>
      <c r="H27" s="6" t="str">
        <f>IFERROR(__xludf.DUMMYFUNCTION("""COMPUTED_VALUE"""),"Menos de 1 SMMLV")</f>
        <v>Menos de 1 SMMLV</v>
      </c>
      <c r="I27" s="8">
        <f>IFERROR(__xludf.DUMMYFUNCTION("""COMPUTED_VALUE"""),46244.0)</f>
        <v>46244</v>
      </c>
      <c r="J27" s="8">
        <f>IFERROR(__xludf.DUMMYFUNCTION("""COMPUTED_VALUE"""),46295.0)</f>
        <v>46295</v>
      </c>
      <c r="K27" s="7" t="str">
        <f>IFERROR(__xludf.DUMMYFUNCTION("""COMPUTED_VALUE"""),"chambakucaribe@gmail.com")</f>
        <v>chambakucaribe@gmail.com</v>
      </c>
      <c r="L27" s="3"/>
      <c r="M27" s="3"/>
      <c r="N27" s="3"/>
      <c r="O27" s="3"/>
      <c r="P27" s="3"/>
      <c r="Q27" s="3"/>
      <c r="R27" s="3"/>
      <c r="S27" s="3"/>
      <c r="T27" s="3"/>
      <c r="U27" s="3"/>
      <c r="V27" s="3"/>
      <c r="W27" s="3"/>
      <c r="X27" s="3"/>
      <c r="Y27" s="3"/>
    </row>
    <row r="28">
      <c r="A28" s="6" t="str">
        <f>IFERROR(__xludf.DUMMYFUNCTION("""COMPUTED_VALUE"""),"COLOMBIANA DE SERVICIOS LOGISTICOS S.A.S")</f>
        <v>COLOMBIANA DE SERVICIOS LOGISTICOS S.A.S</v>
      </c>
      <c r="B28" s="6" t="str">
        <f>IFERROR(__xludf.DUMMYFUNCTION("""COMPUTED_VALUE"""),"Ciclo tecnológico, Ciclo profesional")</f>
        <v>Ciclo tecnológico, Ciclo profesional</v>
      </c>
      <c r="C28" s="6" t="str">
        <f>IFERROR(__xludf.DUMMYFUNCTION("""COMPUTED_VALUE"""),"Tecnología en Gestión Contable, Tecnología en Gestión de Comercio Exterior, Tecnología en Mecánica Automotriz, Tecnología en Soporte de Telecomunicaciones, Tecnología en Desarrollo Informático, Tecnología en Gestión Ambiental")</f>
        <v>Tecnología en Gestión Contable, Tecnología en Gestión de Comercio Exterior, Tecnología en Mecánica Automotriz, Tecnología en Soporte de Telecomunicaciones, Tecnología en Desarrollo Informático, Tecnología en Gestión Ambiental</v>
      </c>
      <c r="D28" s="6" t="str">
        <f>IFERROR(__xludf.DUMMYFUNCTION("""COMPUTED_VALUE"""),"Nosotros somos Colserlog, empresa encargada de la contratacion de personal para las organizaciones de Envia y Coltanques pricipalmente en Bogota y en todas las ciudades de Colombia. Nos encontramos muy interesados en recibir Talento de la Institucion para"&amp;" inicio de su etapa productiva-practica bajo un modelo de contrato de aprendizaje, teniendo los siguientes beneficios: Pago cuota de sostenimiento económico + Afiliación a seguridad social + Auxilio de transporte y la oportunidad de ser contratado en ENVI"&amp;"A o COLTANQUES por su óptimo desempeño y vacantes dispuestas.")</f>
        <v>Nosotros somos Colserlog, empresa encargada de la contratacion de personal para las organizaciones de Envia y Coltanques pricipalmente en Bogota y en todas las ciudades de Colombia. Nos encontramos muy interesados en recibir Talento de la Institucion para inicio de su etapa productiva-practica bajo un modelo de contrato de aprendizaje, teniendo los siguientes beneficios: Pago cuota de sostenimiento económico + Afiliación a seguridad social + Auxilio de transporte y la oportunidad de ser contratado en ENVIA o COLTANQUES por su óptimo desempeño y vacantes dispuestas.</v>
      </c>
      <c r="E28" s="7" t="str">
        <f>IFERROR(__xludf.DUMMYFUNCTION("""COMPUTED_VALUE"""),"No")</f>
        <v>No</v>
      </c>
      <c r="F28" s="6" t="str">
        <f>IFERROR(__xludf.DUMMYFUNCTION("""COMPUTED_VALUE"""),"Bogotá (Chia, Cota, Sopó, Cajicá y alrededores)")</f>
        <v>Bogotá (Chia, Cota, Sopó, Cajicá y alrededores)</v>
      </c>
      <c r="G28" s="6" t="str">
        <f>IFERROR(__xludf.DUMMYFUNCTION("""COMPUTED_VALUE"""),"Contaduría Pública, Administración de Empresas Virtual, Ingeniería Industrial, Ingeniería de Sistemas, Ingeniería Ambiental")</f>
        <v>Contaduría Pública, Administración de Empresas Virtual, Ingeniería Industrial, Ingeniería de Sistemas, Ingeniería Ambiental</v>
      </c>
      <c r="H28" s="6" t="str">
        <f>IFERROR(__xludf.DUMMYFUNCTION("""COMPUTED_VALUE"""),"1 SMMLV")</f>
        <v>1 SMMLV</v>
      </c>
      <c r="I28" s="8">
        <f>IFERROR(__xludf.DUMMYFUNCTION("""COMPUTED_VALUE"""),46246.0)</f>
        <v>46246</v>
      </c>
      <c r="J28" s="8">
        <f>IFERROR(__xludf.DUMMYFUNCTION("""COMPUTED_VALUE"""),46387.0)</f>
        <v>46387</v>
      </c>
      <c r="K28" s="7" t="str">
        <f>IFERROR(__xludf.DUMMYFUNCTION("""COMPUTED_VALUE"""),"aprendizseleccion@sercomlog.com")</f>
        <v>aprendizseleccion@sercomlog.com</v>
      </c>
      <c r="L28" s="3"/>
      <c r="M28" s="3"/>
      <c r="N28" s="3"/>
      <c r="O28" s="3"/>
      <c r="P28" s="3"/>
      <c r="Q28" s="3"/>
      <c r="R28" s="3"/>
      <c r="S28" s="3"/>
      <c r="T28" s="3"/>
      <c r="U28" s="3"/>
      <c r="V28" s="3"/>
      <c r="W28" s="3"/>
      <c r="X28" s="3"/>
      <c r="Y28" s="3"/>
    </row>
    <row r="29">
      <c r="A29" s="6" t="str">
        <f>IFERROR(__xludf.DUMMYFUNCTION("""COMPUTED_VALUE"""),"T.EN COLOMBIA SA")</f>
        <v>T.EN COLOMBIA SA</v>
      </c>
      <c r="B29" s="6" t="str">
        <f>IFERROR(__xludf.DUMMYFUNCTION("""COMPUTED_VALUE"""),"Ciclo tecnológico, Ciclo profesional")</f>
        <v>Ciclo tecnológico, Ciclo profesional</v>
      </c>
      <c r="C29" s="6" t="str">
        <f>IFERROR(__xludf.DUMMYFUNCTION("""COMPUTED_VALUE"""),"Tecnología en Gestión Contable, Tecnología en Procesos Químicos Industriales")</f>
        <v>Tecnología en Gestión Contable, Tecnología en Procesos Químicos Industriales</v>
      </c>
      <c r="D29" s="6" t="str">
        <f>IFERROR(__xludf.DUMMYFUNCTION("""COMPUTED_VALUE"""),"Technip Energies es una potencia global en tecnología e ingeniería. Con posiciones de liderazgo en GNL, hidrógeno, etileno, química sostenible y gestión de CO2, estamos contribuyendo al desarrollo de mercados críticos como energía, derivados de energía, d"&amp;"escarbonización y circularidad. Requerimos para nuestro equipo de trabajo aprendices y practicantes de los programas de Tecnología en Gestión Contable, Ingeniería Electrónica e Ingeniería mecánica. Ofrecemos contratos laborales especiales a término fijo ("&amp;"contrato de aprendizaje) o vinculación formativa, horario de lunes a viernes, 42 horas semanales, las labores se realizan en el Edificio de Technip Energies y las funciones dependen del programa. ")</f>
        <v>Technip Energies es una potencia global en tecnología e ingeniería. Con posiciones de liderazgo en GNL, hidrógeno, etileno, química sostenible y gestión de CO2, estamos contribuyendo al desarrollo de mercados críticos como energía, derivados de energía, descarbonización y circularidad. Requerimos para nuestro equipo de trabajo aprendices y practicantes de los programas de Tecnología en Gestión Contable, Ingeniería Electrónica e Ingeniería mecánica. Ofrecemos contratos laborales especiales a término fijo (contrato de aprendizaje) o vinculación formativa, horario de lunes a viernes, 42 horas semanales, las labores se realizan en el Edificio de Technip Energies y las funciones dependen del programa. </v>
      </c>
      <c r="E29" s="7" t="str">
        <f>IFERROR(__xludf.DUMMYFUNCTION("""COMPUTED_VALUE"""),"Si")</f>
        <v>Si</v>
      </c>
      <c r="F29" s="6" t="str">
        <f>IFERROR(__xludf.DUMMYFUNCTION("""COMPUTED_VALUE"""),"Bogotá (Chia, Cota, Sopó, Cajicá y alrededores)")</f>
        <v>Bogotá (Chia, Cota, Sopó, Cajicá y alrededores)</v>
      </c>
      <c r="G29" s="6" t="str">
        <f>IFERROR(__xludf.DUMMYFUNCTION("""COMPUTED_VALUE"""),"Derecho, Ingeniería Mecatrónica, Ingeniería Mecánica, Ingeniería Electrónica")</f>
        <v>Derecho, Ingeniería Mecatrónica, Ingeniería Mecánica, Ingeniería Electrónica</v>
      </c>
      <c r="H29" s="6" t="str">
        <f>IFERROR(__xludf.DUMMYFUNCTION("""COMPUTED_VALUE"""),"De 1 SMMLV a 2 SMMLV")</f>
        <v>De 1 SMMLV a 2 SMMLV</v>
      </c>
      <c r="I29" s="8">
        <f>IFERROR(__xludf.DUMMYFUNCTION("""COMPUTED_VALUE"""),46252.0)</f>
        <v>46252</v>
      </c>
      <c r="J29" s="8">
        <f>IFERROR(__xludf.DUMMYFUNCTION("""COMPUTED_VALUE"""),46326.0)</f>
        <v>46326</v>
      </c>
      <c r="K29" s="7" t="str">
        <f>IFERROR(__xludf.DUMMYFUNCTION("""COMPUTED_VALUE"""),"paola.reinosorodriguez@ten.com")</f>
        <v>paola.reinosorodriguez@ten.com</v>
      </c>
      <c r="L29" s="3"/>
      <c r="M29" s="3"/>
      <c r="N29" s="3"/>
      <c r="O29" s="3"/>
      <c r="P29" s="3"/>
      <c r="Q29" s="3"/>
      <c r="R29" s="3"/>
      <c r="S29" s="3"/>
      <c r="T29" s="3"/>
      <c r="U29" s="3"/>
      <c r="V29" s="3"/>
      <c r="W29" s="3"/>
      <c r="X29" s="3"/>
      <c r="Y29" s="3"/>
    </row>
    <row r="30">
      <c r="A30" s="6" t="str">
        <f>IFERROR(__xludf.DUMMYFUNCTION("""COMPUTED_VALUE"""),"LA PICADERIA")</f>
        <v>LA PICADERIA</v>
      </c>
      <c r="B30" s="6" t="str">
        <f>IFERROR(__xludf.DUMMYFUNCTION("""COMPUTED_VALUE"""),"Ciclo profesional")</f>
        <v>Ciclo profesional</v>
      </c>
      <c r="C30" s="6" t="str">
        <f>IFERROR(__xludf.DUMMYFUNCTION("""COMPUTED_VALUE"""),"Tecnología en Gestión Gastronómica")</f>
        <v>Tecnología en Gestión Gastronómica</v>
      </c>
      <c r="D30" s="6" t="str">
        <f>IFERROR(__xludf.DUMMYFUNCTION("""COMPUTED_VALUE"""),"RESTAURANTE CAMPESTRE")</f>
        <v>RESTAURANTE CAMPESTRE</v>
      </c>
      <c r="E30" s="7" t="str">
        <f>IFERROR(__xludf.DUMMYFUNCTION("""COMPUTED_VALUE"""),"No")</f>
        <v>No</v>
      </c>
      <c r="F30" s="6" t="str">
        <f>IFERROR(__xludf.DUMMYFUNCTION("""COMPUTED_VALUE"""),"Bogotá (Chia, Cota, Sopó, Cajicá y alrededores)")</f>
        <v>Bogotá (Chia, Cota, Sopó, Cajicá y alrededores)</v>
      </c>
      <c r="G30" s="6" t="str">
        <f>IFERROR(__xludf.DUMMYFUNCTION("""COMPUTED_VALUE"""),"Gastronomía")</f>
        <v>Gastronomía</v>
      </c>
      <c r="H30" s="6" t="str">
        <f>IFERROR(__xludf.DUMMYFUNCTION("""COMPUTED_VALUE"""),"Menos de 1 SMMLV")</f>
        <v>Menos de 1 SMMLV</v>
      </c>
      <c r="I30" s="8">
        <f>IFERROR(__xludf.DUMMYFUNCTION("""COMPUTED_VALUE"""),46254.0)</f>
        <v>46254</v>
      </c>
      <c r="J30" s="8">
        <f>IFERROR(__xludf.DUMMYFUNCTION("""COMPUTED_VALUE"""),46295.0)</f>
        <v>46295</v>
      </c>
      <c r="K30" s="7" t="str">
        <f>IFERROR(__xludf.DUMMYFUNCTION("""COMPUTED_VALUE"""),"gestionhumana@grupolacondesa.com")</f>
        <v>gestionhumana@grupolacondesa.com</v>
      </c>
      <c r="L30" s="3"/>
      <c r="M30" s="3"/>
      <c r="N30" s="3"/>
      <c r="O30" s="3"/>
      <c r="P30" s="3"/>
      <c r="Q30" s="3"/>
      <c r="R30" s="3"/>
      <c r="S30" s="3"/>
      <c r="T30" s="3"/>
      <c r="U30" s="3"/>
      <c r="V30" s="3"/>
      <c r="W30" s="3"/>
      <c r="X30" s="3"/>
      <c r="Y30" s="3"/>
    </row>
    <row r="31">
      <c r="A31" s="6" t="str">
        <f>IFERROR(__xludf.DUMMYFUNCTION("""COMPUTED_VALUE"""),"VIDRIERÍA FENICIA SAS")</f>
        <v>VIDRIERÍA FENICIA SAS</v>
      </c>
      <c r="B31" s="6" t="str">
        <f>IFERROR(__xludf.DUMMYFUNCTION("""COMPUTED_VALUE"""),"Ciclo tecnológico")</f>
        <v>Ciclo tecnológico</v>
      </c>
      <c r="C31" s="6" t="str">
        <f>IFERROR(__xludf.DUMMYFUNCTION("""COMPUTED_VALUE"""),"Tecnología en Mecánica Industrial, Tecnología en Mecánica Automotriz, Tecnología en Gestión de Procesos Industriales, Tecnología en Electrónica Industrial")</f>
        <v>Tecnología en Mecánica Industrial, Tecnología en Mecánica Automotriz, Tecnología en Gestión de Procesos Industriales, Tecnología en Electrónica Industrial</v>
      </c>
      <c r="D31" s="6" t="str">
        <f>IFERROR(__xludf.DUMMYFUNCTION("""COMPUTED_VALUE"""),"Empresa líder en fabricación de envases de vidrio para sector alimentos y bebidas, requiere aprendices Técnico y/o Tecnólogos para diferentes áreas de su planta de Producción. 
Dirección: Autopista sur KM 17 Vía Soacha (100%presencial)
Horario: Lunes a "&amp;"Jueves de 7:00 am a 4:30 pm y Viernes de 7:00 am a 4:00 pm
Cuota de Sostenimiento: $SMLV. pago es Mensual
Hay Rutas Administrativas por la Boyacá y por la Cra. 30
Beneficios: Ruta y Casino. ")</f>
        <v>Empresa líder en fabricación de envases de vidrio para sector alimentos y bebidas, requiere aprendices Técnico y/o Tecnólogos para diferentes áreas de su planta de Producción. 
Dirección: Autopista sur KM 17 Vía Soacha (100%presencial)
Horario: Lunes a Jueves de 7:00 am a 4:30 pm y Viernes de 7:00 am a 4:00 pm
Cuota de Sostenimiento: $SMLV. pago es Mensual
Hay Rutas Administrativas por la Boyacá y por la Cra. 30
Beneficios: Ruta y Casino. </v>
      </c>
      <c r="E31" s="7" t="str">
        <f>IFERROR(__xludf.DUMMYFUNCTION("""COMPUTED_VALUE"""),"Si")</f>
        <v>Si</v>
      </c>
      <c r="F31" s="6" t="str">
        <f>IFERROR(__xludf.DUMMYFUNCTION("""COMPUTED_VALUE"""),"Bogotá (Chia, Cota, Sopó, Cajicá y alrededores)")</f>
        <v>Bogotá (Chia, Cota, Sopó, Cajicá y alrededores)</v>
      </c>
      <c r="G31" s="6" t="str">
        <f>IFERROR(__xludf.DUMMYFUNCTION("""COMPUTED_VALUE"""),"Ingeniería Mecatrónica, Ingeniería Mecánica, Ingeniería Industrial")</f>
        <v>Ingeniería Mecatrónica, Ingeniería Mecánica, Ingeniería Industrial</v>
      </c>
      <c r="H31" s="6" t="str">
        <f>IFERROR(__xludf.DUMMYFUNCTION("""COMPUTED_VALUE"""),"1 SMMLV")</f>
        <v>1 SMMLV</v>
      </c>
      <c r="I31" s="8">
        <f>IFERROR(__xludf.DUMMYFUNCTION("""COMPUTED_VALUE"""),46258.0)</f>
        <v>46258</v>
      </c>
      <c r="J31" s="8">
        <f>IFERROR(__xludf.DUMMYFUNCTION("""COMPUTED_VALUE"""),46327.0)</f>
        <v>46327</v>
      </c>
      <c r="K31" s="7" t="str">
        <f>IFERROR(__xludf.DUMMYFUNCTION("""COMPUTED_VALUE"""),"diana.morales@o-i.com")</f>
        <v>diana.morales@o-i.com</v>
      </c>
      <c r="L31" s="3"/>
      <c r="M31" s="3"/>
      <c r="N31" s="3"/>
      <c r="O31" s="3"/>
      <c r="P31" s="3"/>
      <c r="Q31" s="3"/>
      <c r="R31" s="3"/>
      <c r="S31" s="3"/>
      <c r="T31" s="3"/>
      <c r="U31" s="3"/>
      <c r="V31" s="3"/>
      <c r="W31" s="3"/>
      <c r="X31" s="3"/>
      <c r="Y31" s="3"/>
    </row>
    <row r="32">
      <c r="A32" s="6" t="str">
        <f>IFERROR(__xludf.DUMMYFUNCTION("""COMPUTED_VALUE"""),"VIAJES EL CORTE INGLÉS COLOMBIA SAS")</f>
        <v>VIAJES EL CORTE INGLÉS COLOMBIA SAS</v>
      </c>
      <c r="B32" s="6" t="str">
        <f>IFERROR(__xludf.DUMMYFUNCTION("""COMPUTED_VALUE"""),"Ciclo tecnológico, Ciclo profesional")</f>
        <v>Ciclo tecnológico, Ciclo profesional</v>
      </c>
      <c r="C32" s="6" t="str">
        <f>IFERROR(__xludf.DUMMYFUNCTION("""COMPUTED_VALUE"""),"Tecnología en Gestión Contable")</f>
        <v>Tecnología en Gestión Contable</v>
      </c>
      <c r="D32" s="6" t="str">
        <f>IFERROR(__xludf.DUMMYFUNCTION("""COMPUTED_VALUE"""),"Empresa del sector de turismo, agencia de viajes, desea incorporar a su equipo de contabilidad, tecnólogos o profesionales en carreras aledañas, para desarrollar sus prácticas bajo la figura de aprendiz contable. El tiempo de contrato es por 6 meses o 1 a"&amp;"ño de acuerdo a la solicitud del pensúm, el enfoque está determinado en generar apoyo administrativo y operativo a las diferentes funciones del área, enfocándose en temas financieros y contables. El horario que se maneja es de 42 horas semanales, de lunes"&amp;" a viernes. Nuestra oficina central está ubicada en la calle 100 con cra 19.")</f>
        <v>Empresa del sector de turismo, agencia de viajes, desea incorporar a su equipo de contabilidad, tecnólogos o profesionales en carreras aledañas, para desarrollar sus prácticas bajo la figura de aprendiz contable. El tiempo de contrato es por 6 meses o 1 año de acuerdo a la solicitud del pensúm, el enfoque está determinado en generar apoyo administrativo y operativo a las diferentes funciones del área, enfocándose en temas financieros y contables. El horario que se maneja es de 42 horas semanales, de lunes a viernes. Nuestra oficina central está ubicada en la calle 100 con cra 19.</v>
      </c>
      <c r="E32" s="7" t="str">
        <f>IFERROR(__xludf.DUMMYFUNCTION("""COMPUTED_VALUE"""),"Si")</f>
        <v>Si</v>
      </c>
      <c r="F32" s="6" t="str">
        <f>IFERROR(__xludf.DUMMYFUNCTION("""COMPUTED_VALUE"""),"Bogotá (Chia, Cota, Sopó, Cajicá y alrededores)")</f>
        <v>Bogotá (Chia, Cota, Sopó, Cajicá y alrededores)</v>
      </c>
      <c r="G32" s="6" t="str">
        <f>IFERROR(__xludf.DUMMYFUNCTION("""COMPUTED_VALUE"""),"Contaduría Pública")</f>
        <v>Contaduría Pública</v>
      </c>
      <c r="H32" s="6" t="str">
        <f>IFERROR(__xludf.DUMMYFUNCTION("""COMPUTED_VALUE"""),"1 SMMLV")</f>
        <v>1 SMMLV</v>
      </c>
      <c r="I32" s="8">
        <f>IFERROR(__xludf.DUMMYFUNCTION("""COMPUTED_VALUE"""),46255.0)</f>
        <v>46255</v>
      </c>
      <c r="J32" s="8">
        <f>IFERROR(__xludf.DUMMYFUNCTION("""COMPUTED_VALUE"""),46325.0)</f>
        <v>46325</v>
      </c>
      <c r="K32" s="7" t="str">
        <f>IFERROR(__xludf.DUMMYFUNCTION("""COMPUTED_VALUE"""),"recursoshumanos@viajeseci.com.co")</f>
        <v>recursoshumanos@viajeseci.com.co</v>
      </c>
      <c r="L32" s="3"/>
      <c r="M32" s="3"/>
      <c r="N32" s="3"/>
      <c r="O32" s="3"/>
      <c r="P32" s="3"/>
      <c r="Q32" s="3"/>
      <c r="R32" s="3"/>
      <c r="S32" s="3"/>
      <c r="T32" s="3"/>
      <c r="U32" s="3"/>
      <c r="V32" s="3"/>
      <c r="W32" s="3"/>
      <c r="X32" s="3"/>
      <c r="Y32" s="3"/>
    </row>
    <row r="33">
      <c r="A33" s="6" t="str">
        <f>IFERROR(__xludf.DUMMYFUNCTION("""COMPUTED_VALUE"""),"SKY FRIEND SAS OPPO COLOMBIA ")</f>
        <v>SKY FRIEND SAS OPPO COLOMBIA </v>
      </c>
      <c r="B33" s="6" t="str">
        <f>IFERROR(__xludf.DUMMYFUNCTION("""COMPUTED_VALUE"""),"Ciclo tecnológico, Ciclo profesional")</f>
        <v>Ciclo tecnológico, Ciclo profesional</v>
      </c>
      <c r="C33" s="6" t="str">
        <f>IFERROR(__xludf.DUMMYFUNCTION("""COMPUTED_VALUE"""),"Tecnología en Mercadeo y Diseño Publicitario, Tecnología en Soporte de Telecomunicaciones, Tecnología en Electrónica Industrial")</f>
        <v>Tecnología en Mercadeo y Diseño Publicitario, Tecnología en Soporte de Telecomunicaciones, Tecnología en Electrónica Industrial</v>
      </c>
      <c r="D33" s="6" t="str">
        <f>IFERROR(__xludf.DUMMYFUNCTION("""COMPUTED_VALUE"""),"OPPO Colombia busca Practicante Universitario de testing
Buscamos estudiantes de últimos semestres de Ingeniería de Sistemas, Ingeniería Electrónica, Ingeniería de Telecomunicaciones, Ingeniería de Software, Ingeniería Telemática o carreras afines, inter"&amp;"esados en desarrollar su práctica profesional en el área de tecnología y dispositivos móviles.
El practicante apoyará en la ejecución de pruebas funcionales en celulares, validación de redes de operadores y sistemas operativos, actualización de software,"&amp;" certificación ante la CRC, gestión de inventario y documentación y seguimiento de errores encontrados durante las pruebas.
Requisitos principales:
Estar habilitado para realizar práctica profesional.
Conocimientos básicos en dispositivos móviles, siste"&amp;"mas operativos y tecnología.
Interés en testing, QA y telecomunicaciones.
Inglés B1.
Atención al detalle y capacidad de análisis.
📍 Modalidad: Presencial
🕘 Horario: Lunes a viernes, 9:00 a. m. a 6:00 p. m.
⏱️ Intensidad: 40 horas semanales
🏢 Empresa: "&amp;"OPPO Colombia
¡Una excelente oportunidad para adquirir experiencia práctica en testing, calidad y tecnología móvil!")</f>
        <v>OPPO Colombia busca Practicante Universitario de testing
Buscamos estudiantes de últimos semestres de Ingeniería de Sistemas, Ingeniería Electrónica, Ingeniería de Telecomunicaciones, Ingeniería de Software, Ingeniería Telemática o carreras afines, interesados en desarrollar su práctica profesional en el área de tecnología y dispositivos móviles.
El practicante apoyará en la ejecución de pruebas funcionales en celulares, validación de redes de operadores y sistemas operativos, actualización de software, certificación ante la CRC, gestión de inventario y documentación y seguimiento de errores encontrados durante las pruebas.
Requisitos principales:
Estar habilitado para realizar práctica profesional.
Conocimientos básicos en dispositivos móviles, sistemas operativos y tecnología.
Interés en testing, QA y telecomunicaciones.
Inglés B1.
Atención al detalle y capacidad de análisis.
📍 Modalidad: Presencial
🕘 Horario: Lunes a viernes, 9:00 a. m. a 6:00 p. m.
⏱️ Intensidad: 40 horas semanales
🏢 Empresa: OPPO Colombia
¡Una excelente oportunidad para adquirir experiencia práctica en testing, calidad y tecnología móvil!</v>
      </c>
      <c r="E33" s="7" t="str">
        <f>IFERROR(__xludf.DUMMYFUNCTION("""COMPUTED_VALUE"""),"Si")</f>
        <v>Si</v>
      </c>
      <c r="F33" s="6" t="str">
        <f>IFERROR(__xludf.DUMMYFUNCTION("""COMPUTED_VALUE"""),"Bogotá (Chia, Cota, Sopó, Cajicá y alrededores)")</f>
        <v>Bogotá (Chia, Cota, Sopó, Cajicá y alrededores)</v>
      </c>
      <c r="G33" s="6" t="str">
        <f>IFERROR(__xludf.DUMMYFUNCTION("""COMPUTED_VALUE"""),"Mercadeo y Publicidad, Derecho, Ingeniería Electrónica, Ingeniería de Sistemas, Estadística")</f>
        <v>Mercadeo y Publicidad, Derecho, Ingeniería Electrónica, Ingeniería de Sistemas, Estadística</v>
      </c>
      <c r="H33" s="6" t="str">
        <f>IFERROR(__xludf.DUMMYFUNCTION("""COMPUTED_VALUE"""),"1 SMMLV")</f>
        <v>1 SMMLV</v>
      </c>
      <c r="I33" s="8">
        <f>IFERROR(__xludf.DUMMYFUNCTION("""COMPUTED_VALUE"""),46258.0)</f>
        <v>46258</v>
      </c>
      <c r="J33" s="8">
        <f>IFERROR(__xludf.DUMMYFUNCTION("""COMPUTED_VALUE"""),46295.0)</f>
        <v>46295</v>
      </c>
      <c r="K33" s="7" t="str">
        <f>IFERROR(__xludf.DUMMYFUNCTION("""COMPUTED_VALUE"""),"encuestas.skyfriend@gmail.com")</f>
        <v>encuestas.skyfriend@gmail.com</v>
      </c>
      <c r="L33" s="3"/>
      <c r="M33" s="3"/>
      <c r="N33" s="3"/>
      <c r="O33" s="3"/>
      <c r="P33" s="3"/>
      <c r="Q33" s="3"/>
      <c r="R33" s="3"/>
      <c r="S33" s="3"/>
      <c r="T33" s="3"/>
      <c r="U33" s="3"/>
      <c r="V33" s="3"/>
      <c r="W33" s="3"/>
      <c r="X33" s="3"/>
      <c r="Y33" s="3"/>
    </row>
    <row r="34">
      <c r="A34" s="6" t="str">
        <f>IFERROR(__xludf.DUMMYFUNCTION("""COMPUTED_VALUE"""),"SANEAMIENTO AMBIENTAL Y SANITARIO SAS ")</f>
        <v>SANEAMIENTO AMBIENTAL Y SANITARIO SAS </v>
      </c>
      <c r="B34" s="6" t="str">
        <f>IFERROR(__xludf.DUMMYFUNCTION("""COMPUTED_VALUE"""),"Ciclo tecnológico")</f>
        <v>Ciclo tecnológico</v>
      </c>
      <c r="C34" s="6" t="str">
        <f>IFERROR(__xludf.DUMMYFUNCTION("""COMPUTED_VALUE"""),"Tecnología en Mercadeo y Diseño Publicitario, Tecnología en Gestión Contable, Tecnología en Gestión de Procesos Industriales, Tecnología en Gestión Ambiental")</f>
        <v>Tecnología en Mercadeo y Diseño Publicitario, Tecnología en Gestión Contable, Tecnología en Gestión de Procesos Industriales, Tecnología en Gestión Ambiental</v>
      </c>
      <c r="D34" s="6" t="str">
        <f>IFERROR(__xludf.DUMMYFUNCTION("""COMPUTED_VALUE"""),"Empresa del sector ambiental requiere para su equipo de trabajo estudiantes (hombres y mujeres) proactivos, dinámicos y apasionados por la sostenibilidad, para desempeñar el cargo de Practicante en Etapa Productiva en diferentes áreas de la organización ("&amp;"Ambiental, Administrativa, Financiera, Tecnológica y SST). El enfoque principal de la práctica es brindar al estudiante un espacio de aprendizaje real, donde participará activamente en el apoyo, ejecución y optimización de los procesos internos de la comp"&amp;"añía bajo la guía de profesionales expertos del sector.")</f>
        <v>Empresa del sector ambiental requiere para su equipo de trabajo estudiantes (hombres y mujeres) proactivos, dinámicos y apasionados por la sostenibilidad, para desempeñar el cargo de Practicante en Etapa Productiva en diferentes áreas de la organización (Ambiental, Administrativa, Financiera, Tecnológica y SST). El enfoque principal de la práctica es brindar al estudiante un espacio de aprendizaje real, donde participará activamente en el apoyo, ejecución y optimización de los procesos internos de la compañía bajo la guía de profesionales expertos del sector.</v>
      </c>
      <c r="E34" s="7" t="str">
        <f>IFERROR(__xludf.DUMMYFUNCTION("""COMPUTED_VALUE"""),"Si")</f>
        <v>Si</v>
      </c>
      <c r="F34" s="6" t="str">
        <f>IFERROR(__xludf.DUMMYFUNCTION("""COMPUTED_VALUE"""),"Bogotá (Chia, Cota, Sopó, Cajicá y alrededores)")</f>
        <v>Bogotá (Chia, Cota, Sopó, Cajicá y alrededores)</v>
      </c>
      <c r="G34" s="6" t="str">
        <f>IFERROR(__xludf.DUMMYFUNCTION("""COMPUTED_VALUE"""),"Mercadeo y Publicidad, Contaduría Pública, Ingeniería Industrial, Ingeniería Ambiental")</f>
        <v>Mercadeo y Publicidad, Contaduría Pública, Ingeniería Industrial, Ingeniería Ambiental</v>
      </c>
      <c r="H34" s="6" t="str">
        <f>IFERROR(__xludf.DUMMYFUNCTION("""COMPUTED_VALUE"""),"1 SMMLV")</f>
        <v>1 SMMLV</v>
      </c>
      <c r="I34" s="8">
        <f>IFERROR(__xludf.DUMMYFUNCTION("""COMPUTED_VALUE"""),46255.0)</f>
        <v>46255</v>
      </c>
      <c r="J34" s="8">
        <f>IFERROR(__xludf.DUMMYFUNCTION("""COMPUTED_VALUE"""),46295.0)</f>
        <v>46295</v>
      </c>
      <c r="K34" s="7" t="str">
        <f>IFERROR(__xludf.DUMMYFUNCTION("""COMPUTED_VALUE"""),"lizeth.conde@samsa.co")</f>
        <v>lizeth.conde@samsa.co</v>
      </c>
      <c r="L34" s="3"/>
      <c r="M34" s="3"/>
      <c r="N34" s="3"/>
      <c r="O34" s="3"/>
      <c r="P34" s="3"/>
      <c r="Q34" s="3"/>
      <c r="R34" s="3"/>
      <c r="S34" s="3"/>
      <c r="T34" s="3"/>
      <c r="U34" s="3"/>
      <c r="V34" s="3"/>
      <c r="W34" s="3"/>
      <c r="X34" s="3"/>
      <c r="Y34" s="3"/>
    </row>
    <row r="35">
      <c r="A35" s="6" t="str">
        <f>IFERROR(__xludf.DUMMYFUNCTION("""COMPUTED_VALUE"""),"AGROPECUARIA ALIAR S.A")</f>
        <v>AGROPECUARIA ALIAR S.A</v>
      </c>
      <c r="B35" s="6" t="str">
        <f>IFERROR(__xludf.DUMMYFUNCTION("""COMPUTED_VALUE"""),"Ciclo tecnológico")</f>
        <v>Ciclo tecnológico</v>
      </c>
      <c r="C35" s="6" t="str">
        <f>IFERROR(__xludf.DUMMYFUNCTION("""COMPUTED_VALUE"""),"Tecnología en Automatización y Robótica Industrial, Tecnología en Mecánica Industrial, Tecnología en Electrónica Industrial")</f>
        <v>Tecnología en Automatización y Robótica Industrial, Tecnología en Mecánica Industrial, Tecnología en Electrónica Industrial</v>
      </c>
      <c r="D35" s="6" t="str">
        <f>IFERROR(__xludf.DUMMYFUNCTION("""COMPUTED_VALUE"""),"Importante empresa de alimentos, requiere practicantes Técnicos o Tecnólogos en electromecánica ( automatización electrónica ,mecatrónica o afines )Condiciones laborales:
Lugar de trabajo  Villa Gladys -- Engativá 
Horario: Lunes a viernes 08:00 am - 05"&amp;":00 pm - Sábados de 08:00 am - 12:00 m
Contrato de aprendizaje a 6 meses o 1 año (Depende del instituto)
Jornada: Presencial
Salario: SMLV + Prestaciones de ley
Beneficio de alimentación en planta todos los días")</f>
        <v>Importante empresa de alimentos, requiere practicantes Técnicos o Tecnólogos en electromecánica ( automatización electrónica ,mecatrónica o afines )Condiciones laborales:
Lugar de trabajo  Villa Gladys -- Engativá 
Horario: Lunes a viernes 08:00 am - 05:00 pm - Sábados de 08:00 am - 12:00 m
Contrato de aprendizaje a 6 meses o 1 año (Depende del instituto)
Jornada: Presencial
Salario: SMLV + Prestaciones de ley
Beneficio de alimentación en planta todos los días</v>
      </c>
      <c r="E35" s="7" t="str">
        <f>IFERROR(__xludf.DUMMYFUNCTION("""COMPUTED_VALUE"""),"Si")</f>
        <v>Si</v>
      </c>
      <c r="F35" s="6" t="str">
        <f>IFERROR(__xludf.DUMMYFUNCTION("""COMPUTED_VALUE"""),"Bogotá (Chia, Cota, Sopó, Cajicá y alrededores)")</f>
        <v>Bogotá (Chia, Cota, Sopó, Cajicá y alrededores)</v>
      </c>
      <c r="G35" s="6" t="str">
        <f>IFERROR(__xludf.DUMMYFUNCTION("""COMPUTED_VALUE"""),"Administración de Empresas Virtual, Ingeniería Mecatrónica")</f>
        <v>Administración de Empresas Virtual, Ingeniería Mecatrónica</v>
      </c>
      <c r="H35" s="6" t="str">
        <f>IFERROR(__xludf.DUMMYFUNCTION("""COMPUTED_VALUE"""),"1 SMMLV")</f>
        <v>1 SMMLV</v>
      </c>
      <c r="I35" s="8">
        <f>IFERROR(__xludf.DUMMYFUNCTION("""COMPUTED_VALUE"""),46258.0)</f>
        <v>46258</v>
      </c>
      <c r="J35" s="8">
        <f>IFERROR(__xludf.DUMMYFUNCTION("""COMPUTED_VALUE"""),46316.0)</f>
        <v>46316</v>
      </c>
      <c r="K35" s="7" t="str">
        <f>IFERROR(__xludf.DUMMYFUNCTION("""COMPUTED_VALUE"""),"pas3.ghumana.cun.aliar@gmail.com")</f>
        <v>pas3.ghumana.cun.aliar@gmail.com</v>
      </c>
      <c r="L35" s="3"/>
      <c r="M35" s="3"/>
      <c r="N35" s="3"/>
      <c r="O35" s="3"/>
      <c r="P35" s="3"/>
      <c r="Q35" s="3"/>
      <c r="R35" s="3"/>
      <c r="S35" s="3"/>
      <c r="T35" s="3"/>
      <c r="U35" s="3"/>
      <c r="V35" s="3"/>
      <c r="W35" s="3"/>
      <c r="X35" s="3"/>
      <c r="Y35" s="3"/>
    </row>
    <row r="36">
      <c r="A36" s="6" t="str">
        <f>IFERROR(__xludf.DUMMYFUNCTION("""COMPUTED_VALUE"""),"ELANCO COLOMBIA S.A.S")</f>
        <v>ELANCO COLOMBIA S.A.S</v>
      </c>
      <c r="B36" s="6" t="str">
        <f>IFERROR(__xludf.DUMMYFUNCTION("""COMPUTED_VALUE"""),"Ciclo tecnológico, Ciclo profesional")</f>
        <v>Ciclo tecnológico, Ciclo profesional</v>
      </c>
      <c r="C36" s="6" t="str">
        <f>IFERROR(__xludf.DUMMYFUNCTION("""COMPUTED_VALUE"""),"Tecnología en Mercadeo y Diseño Publicitario, Tecnología en Gestión Contable, Tecnología en Gestión de Comercio Exterior, Tecnología en Gestión de Procesos Industriales, Tecnología en Soporte de Telecomunicaciones, Tecnología en Desarrollo Informático")</f>
        <v>Tecnología en Mercadeo y Diseño Publicitario, Tecnología en Gestión Contable, Tecnología en Gestión de Comercio Exterior, Tecnología en Gestión de Procesos Industriales, Tecnología en Soporte de Telecomunicaciones, Tecnología en Desarrollo Informático</v>
      </c>
      <c r="D36" s="6" t="str">
        <f>IFERROR(__xludf.DUMMYFUNCTION("""COMPUTED_VALUE"""),"Dar soporte en el diseño, implementación y seguimiento a la estrategia del Departamento de la vacante para la Región CASA")</f>
        <v>Dar soporte en el diseño, implementación y seguimiento a la estrategia del Departamento de la vacante para la Región CASA</v>
      </c>
      <c r="E36" s="7" t="str">
        <f>IFERROR(__xludf.DUMMYFUNCTION("""COMPUTED_VALUE"""),"No")</f>
        <v>No</v>
      </c>
      <c r="F36" s="6" t="str">
        <f>IFERROR(__xludf.DUMMYFUNCTION("""COMPUTED_VALUE"""),"Bogotá (Chia, Cota, Sopó, Cajicá y alrededores)")</f>
        <v>Bogotá (Chia, Cota, Sopó, Cajicá y alrededores)</v>
      </c>
      <c r="G36" s="6" t="str">
        <f>IFERROR(__xludf.DUMMYFUNCTION("""COMPUTED_VALUE"""),"Mercadeo y Publicidad, Contaduría Pública, Comercio Internacional, Administración de Empresas Virtual, Ingeniería Industrial, Estadística")</f>
        <v>Mercadeo y Publicidad, Contaduría Pública, Comercio Internacional, Administración de Empresas Virtual, Ingeniería Industrial, Estadística</v>
      </c>
      <c r="H36" s="6" t="str">
        <f>IFERROR(__xludf.DUMMYFUNCTION("""COMPUTED_VALUE"""),"1 SMMLV")</f>
        <v>1 SMMLV</v>
      </c>
      <c r="I36" s="8">
        <f>IFERROR(__xludf.DUMMYFUNCTION("""COMPUTED_VALUE"""),46260.0)</f>
        <v>46260</v>
      </c>
      <c r="J36" s="8">
        <f>IFERROR(__xludf.DUMMYFUNCTION("""COMPUTED_VALUE"""),46356.0)</f>
        <v>46356</v>
      </c>
      <c r="K36" s="7" t="str">
        <f>IFERROR(__xludf.DUMMYFUNCTION("""COMPUTED_VALUE"""),"camilo.botero@elancoah.com")</f>
        <v>camilo.botero@elancoah.com</v>
      </c>
      <c r="L36" s="3"/>
      <c r="M36" s="3"/>
      <c r="N36" s="3"/>
      <c r="O36" s="3"/>
      <c r="P36" s="3"/>
      <c r="Q36" s="3"/>
      <c r="R36" s="3"/>
      <c r="S36" s="3"/>
      <c r="T36" s="3"/>
      <c r="U36" s="3"/>
      <c r="V36" s="3"/>
      <c r="W36" s="3"/>
      <c r="X36" s="3"/>
      <c r="Y36" s="3"/>
    </row>
    <row r="37">
      <c r="A37" s="6" t="str">
        <f>IFERROR(__xludf.DUMMYFUNCTION("""COMPUTED_VALUE"""),"DENICOLAS")</f>
        <v>DENICOLAS</v>
      </c>
      <c r="B37" s="6" t="str">
        <f>IFERROR(__xludf.DUMMYFUNCTION("""COMPUTED_VALUE"""),"Ciclo tecnológico")</f>
        <v>Ciclo tecnológico</v>
      </c>
      <c r="C37" s="6" t="str">
        <f>IFERROR(__xludf.DUMMYFUNCTION("""COMPUTED_VALUE"""),"Tecnología en Mercadeo y Diseño Publicitario, Tecnología en Soporte de Telecomunicaciones")</f>
        <v>Tecnología en Mercadeo y Diseño Publicitario, Tecnología en Soporte de Telecomunicaciones</v>
      </c>
      <c r="D37" s="6" t="str">
        <f>IFERROR(__xludf.DUMMYFUNCTION("""COMPUTED_VALUE"""),"Leer y analizar los correos del cliente.
Explicar al equipo creativo lo que el cliente necesita.
Responder al cliente con fechas de entrega.
Registrar las solicitudes en los tráficos interno y externo.
Crear una carpeta en Drive para cada nueva comanda.
R"&amp;"evisar las piezas antes de enviarlas al cliente.
Guardar las piezas finales en Drive.
Hacer seguimiento a cada comanda hasta su entrega.
Mantener los tráficos actualizados todos los días.
Hacer los presupuestos de las comandas.
Asistir a reuniones de tráf"&amp;"ico y otras reuniones con el cliente.")</f>
        <v>Leer y analizar los correos del cliente.
Explicar al equipo creativo lo que el cliente necesita.
Responder al cliente con fechas de entrega.
Registrar las solicitudes en los tráficos interno y externo.
Crear una carpeta en Drive para cada nueva comanda.
Revisar las piezas antes de enviarlas al cliente.
Guardar las piezas finales en Drive.
Hacer seguimiento a cada comanda hasta su entrega.
Mantener los tráficos actualizados todos los días.
Hacer los presupuestos de las comandas.
Asistir a reuniones de tráfico y otras reuniones con el cliente.</v>
      </c>
      <c r="E37" s="7" t="str">
        <f>IFERROR(__xludf.DUMMYFUNCTION("""COMPUTED_VALUE"""),"No")</f>
        <v>No</v>
      </c>
      <c r="F37" s="6" t="str">
        <f>IFERROR(__xludf.DUMMYFUNCTION("""COMPUTED_VALUE"""),"Bogotá (Chia, Cota, Sopó, Cajicá y alrededores)")</f>
        <v>Bogotá (Chia, Cota, Sopó, Cajicá y alrededores)</v>
      </c>
      <c r="G37" s="6" t="str">
        <f>IFERROR(__xludf.DUMMYFUNCTION("""COMPUTED_VALUE"""),"Mercadeo y Publicidad")</f>
        <v>Mercadeo y Publicidad</v>
      </c>
      <c r="H37" s="6" t="str">
        <f>IFERROR(__xludf.DUMMYFUNCTION("""COMPUTED_VALUE"""),"1 SMMLV")</f>
        <v>1 SMMLV</v>
      </c>
      <c r="I37" s="8">
        <f>IFERROR(__xludf.DUMMYFUNCTION("""COMPUTED_VALUE"""),46259.0)</f>
        <v>46259</v>
      </c>
      <c r="J37" s="8">
        <f>IFERROR(__xludf.DUMMYFUNCTION("""COMPUTED_VALUE"""),46295.0)</f>
        <v>46295</v>
      </c>
      <c r="K37" s="7" t="str">
        <f>IFERROR(__xludf.DUMMYFUNCTION("""COMPUTED_VALUE"""),"aballestas@denicolas.co")</f>
        <v>aballestas@denicolas.co</v>
      </c>
      <c r="L37" s="3"/>
      <c r="M37" s="3"/>
      <c r="N37" s="3"/>
      <c r="O37" s="3"/>
      <c r="P37" s="3"/>
      <c r="Q37" s="3"/>
      <c r="R37" s="3"/>
      <c r="S37" s="3"/>
      <c r="T37" s="3"/>
      <c r="U37" s="3"/>
      <c r="V37" s="3"/>
      <c r="W37" s="3"/>
      <c r="X37" s="3"/>
      <c r="Y37" s="3"/>
    </row>
    <row r="38">
      <c r="A38" s="6" t="str">
        <f>IFERROR(__xludf.DUMMYFUNCTION("""COMPUTED_VALUE"""),"ARTHREX COLOMBIA SAS")</f>
        <v>ARTHREX COLOMBIA SAS</v>
      </c>
      <c r="B38" s="6" t="str">
        <f>IFERROR(__xludf.DUMMYFUNCTION("""COMPUTED_VALUE"""),"Ciclo tecnológico")</f>
        <v>Ciclo tecnológico</v>
      </c>
      <c r="C38" s="6" t="str">
        <f>IFERROR(__xludf.DUMMYFUNCTION("""COMPUTED_VALUE"""),"Tecnología en Procesos Químicos Industriales, Tecnología en Gestión de Procesos Industriales, Tecnología en Mantenimiento de Equipos Biomédicos, Tecnología en Gestión Ambiental")</f>
        <v>Tecnología en Procesos Químicos Industriales, Tecnología en Gestión de Procesos Industriales, Tecnología en Mantenimiento de Equipos Biomédicos, Tecnología en Gestión Ambiental</v>
      </c>
      <c r="D38" s="6" t="str">
        <f>IFERROR(__xludf.DUMMYFUNCTION("""COMPUTED_VALUE"""),"Arthrex Colombia S.A.S., empresa del sector de dispositivos médicos y tecnología para la salud, requiere para su equipo de trabajo estudiantes en etapa de práctica para apoyar las diferentes áreas de la organización. La práctica está orientada al fortalec"&amp;"imiento de competencias profesionales mediante la participación en actividades administrativas, operativas y de apoyo a proyectos, permitiendo la aplicación de conocimientos académicos en un entorno corporativo dinámico e innovador. Ofrecemos contrato de "&amp;"aprendizaje, apoyo de sostenimiento conforme a la normatividad vigente, horario de lunes a viernes y modalidad de trabajo presencial en Bogotá. El practicante apoyará actividades relacionadas con su área de formación, gestión documental, seguimiento de pr"&amp;"ocesos, elaboración de informes, atención de requerimientos internos y demás funciones asignadas, contribuyendo al cumplimiento de los objetivos organizacionales.")</f>
        <v>Arthrex Colombia S.A.S., empresa del sector de dispositivos médicos y tecnología para la salud, requiere para su equipo de trabajo estudiantes en etapa de práctica para apoyar las diferentes áreas de la organización. La práctica está orientada al fortalecimiento de competencias profesionales mediante la participación en actividades administrativas, operativas y de apoyo a proyectos, permitiendo la aplicación de conocimientos académicos en un entorno corporativo dinámico e innovador. Ofrecemos contrato de aprendizaje, apoyo de sostenimiento conforme a la normatividad vigente, horario de lunes a viernes y modalidad de trabajo presencial en Bogotá. El practicante apoyará actividades relacionadas con su área de formación, gestión documental, seguimiento de procesos, elaboración de informes, atención de requerimientos internos y demás funciones asignadas, contribuyendo al cumplimiento de los objetivos organizacionales.</v>
      </c>
      <c r="E38" s="7" t="str">
        <f>IFERROR(__xludf.DUMMYFUNCTION("""COMPUTED_VALUE"""),"No")</f>
        <v>No</v>
      </c>
      <c r="F38" s="6" t="str">
        <f>IFERROR(__xludf.DUMMYFUNCTION("""COMPUTED_VALUE"""),"Bogotá (Chia, Cota, Sopó, Cajicá y alrededores)")</f>
        <v>Bogotá (Chia, Cota, Sopó, Cajicá y alrededores)</v>
      </c>
      <c r="G38" s="6" t="str">
        <f>IFERROR(__xludf.DUMMYFUNCTION("""COMPUTED_VALUE"""),"Ingeniería Industrial, Ingeniería Electrónica, Ingeniería Ambiental")</f>
        <v>Ingeniería Industrial, Ingeniería Electrónica, Ingeniería Ambiental</v>
      </c>
      <c r="H38" s="6" t="str">
        <f>IFERROR(__xludf.DUMMYFUNCTION("""COMPUTED_VALUE"""),"1 SMMLV")</f>
        <v>1 SMMLV</v>
      </c>
      <c r="I38" s="8">
        <f>IFERROR(__xludf.DUMMYFUNCTION("""COMPUTED_VALUE"""),46260.0)</f>
        <v>46260</v>
      </c>
      <c r="J38" s="8">
        <f>IFERROR(__xludf.DUMMYFUNCTION("""COMPUTED_VALUE"""),46503.0)</f>
        <v>46503</v>
      </c>
      <c r="K38" s="7" t="str">
        <f>IFERROR(__xludf.DUMMYFUNCTION("""COMPUTED_VALUE"""),"andrea.pabon@arthrex.com")</f>
        <v>andrea.pabon@arthrex.com</v>
      </c>
      <c r="L38" s="3"/>
      <c r="M38" s="3"/>
      <c r="N38" s="3"/>
      <c r="O38" s="3"/>
      <c r="P38" s="3"/>
      <c r="Q38" s="3"/>
      <c r="R38" s="3"/>
      <c r="S38" s="3"/>
      <c r="T38" s="3"/>
      <c r="U38" s="3"/>
      <c r="V38" s="3"/>
      <c r="W38" s="3"/>
      <c r="X38" s="3"/>
      <c r="Y38" s="3"/>
    </row>
    <row r="39">
      <c r="A39" s="6" t="str">
        <f>IFERROR(__xludf.DUMMYFUNCTION("""COMPUTED_VALUE"""),"MEDI VARIC PRODUCTS SAS")</f>
        <v>MEDI VARIC PRODUCTS SAS</v>
      </c>
      <c r="B39" s="6" t="str">
        <f>IFERROR(__xludf.DUMMYFUNCTION("""COMPUTED_VALUE"""),"Ciclo profesional")</f>
        <v>Ciclo profesional</v>
      </c>
      <c r="C39" s="6" t="str">
        <f>IFERROR(__xludf.DUMMYFUNCTION("""COMPUTED_VALUE"""),"No aplica")</f>
        <v>No aplica</v>
      </c>
      <c r="D39" s="6" t="str">
        <f>IFERROR(__xludf.DUMMYFUNCTION("""COMPUTED_VALUE"""),"Empresa del sector manufacturero requiere para su equipo de trabajo persona para apoyar el área Comercial y de Ventas en la gestión de viáticos, incluyendo compra de tiquetes y reserva de hoteles. Se requiere buen manejo de Excel para apoyar el control de"&amp;" presupuestos, seguimiento de gastos y demás actividades administrativas del área. Se busca una persona organizada, responsable, con capacidad de gestión y buen servicio al cliente interno.")</f>
        <v>Empresa del sector manufacturero requiere para su equipo de trabajo persona para apoyar el área Comercial y de Ventas en la gestión de viáticos, incluyendo compra de tiquetes y reserva de hoteles. Se requiere buen manejo de Excel para apoyar el control de presupuestos, seguimiento de gastos y demás actividades administrativas del área. Se busca una persona organizada, responsable, con capacidad de gestión y buen servicio al cliente interno.</v>
      </c>
      <c r="E39" s="7" t="str">
        <f>IFERROR(__xludf.DUMMYFUNCTION("""COMPUTED_VALUE"""),"Si")</f>
        <v>Si</v>
      </c>
      <c r="F39" s="6" t="str">
        <f>IFERROR(__xludf.DUMMYFUNCTION("""COMPUTED_VALUE"""),"Bogotá (Chia, Cota, Sopó, Cajicá y alrededores)")</f>
        <v>Bogotá (Chia, Cota, Sopó, Cajicá y alrededores)</v>
      </c>
      <c r="G39" s="6" t="str">
        <f>IFERROR(__xludf.DUMMYFUNCTION("""COMPUTED_VALUE"""),"Ingeniería Industrial")</f>
        <v>Ingeniería Industrial</v>
      </c>
      <c r="H39" s="6" t="str">
        <f>IFERROR(__xludf.DUMMYFUNCTION("""COMPUTED_VALUE"""),"1 SMMLV")</f>
        <v>1 SMMLV</v>
      </c>
      <c r="I39" s="8">
        <f>IFERROR(__xludf.DUMMYFUNCTION("""COMPUTED_VALUE"""),46258.0)</f>
        <v>46258</v>
      </c>
      <c r="J39" s="8">
        <f>IFERROR(__xludf.DUMMYFUNCTION("""COMPUTED_VALUE"""),46326.0)</f>
        <v>46326</v>
      </c>
      <c r="K39" s="7" t="str">
        <f>IFERROR(__xludf.DUMMYFUNCTION("""COMPUTED_VALUE"""),"auxiliar.personal@medivaric.com.co")</f>
        <v>auxiliar.personal@medivaric.com.co</v>
      </c>
      <c r="L39" s="3"/>
      <c r="M39" s="3"/>
      <c r="N39" s="3"/>
      <c r="O39" s="3"/>
      <c r="P39" s="3"/>
      <c r="Q39" s="3"/>
      <c r="R39" s="3"/>
      <c r="S39" s="3"/>
      <c r="T39" s="3"/>
      <c r="U39" s="3"/>
      <c r="V39" s="3"/>
      <c r="W39" s="3"/>
      <c r="X39" s="3"/>
      <c r="Y39" s="3"/>
    </row>
    <row r="40">
      <c r="A40" s="6" t="str">
        <f>IFERROR(__xludf.DUMMYFUNCTION("""COMPUTED_VALUE"""),"CODELCA SAS")</f>
        <v>CODELCA SAS</v>
      </c>
      <c r="B40" s="6" t="str">
        <f>IFERROR(__xludf.DUMMYFUNCTION("""COMPUTED_VALUE"""),"Ciclo tecnológico, Ciclo profesional")</f>
        <v>Ciclo tecnológico, Ciclo profesional</v>
      </c>
      <c r="C40" s="6" t="str">
        <f>IFERROR(__xludf.DUMMYFUNCTION("""COMPUTED_VALUE"""),"Tecnología en Automatización y Robótica Industrial, Tecnología en Mecánica Industrial, Tecnología en Gestión de Procesos Industriales")</f>
        <v>Tecnología en Automatización y Robótica Industrial, Tecnología en Mecánica Industrial, Tecnología en Gestión de Procesos Industriales</v>
      </c>
      <c r="D40" s="6" t="str">
        <f>IFERROR(__xludf.DUMMYFUNCTION("""COMPUTED_VALUE"""),"somos una empresa que fabrica y comercializa productos eléctricos, durables de la mejor calidad, que necesita estudiantes que quieran realizar sus practicas con nosotros para comunicarnos el aprendizaje que ya tienen y quieran desarrollar mas sus facultad"&amp;"es, aportando equitativamente un buen trabajo entre la empresa y el estudiante. ")</f>
        <v>somos una empresa que fabrica y comercializa productos eléctricos, durables de la mejor calidad, que necesita estudiantes que quieran realizar sus practicas con nosotros para comunicarnos el aprendizaje que ya tienen y quieran desarrollar mas sus facultades, aportando equitativamente un buen trabajo entre la empresa y el estudiante. </v>
      </c>
      <c r="E40" s="7" t="str">
        <f>IFERROR(__xludf.DUMMYFUNCTION("""COMPUTED_VALUE"""),"Si")</f>
        <v>Si</v>
      </c>
      <c r="F40" s="6" t="str">
        <f>IFERROR(__xludf.DUMMYFUNCTION("""COMPUTED_VALUE"""),"Bogotá (Chia, Cota, Sopó, Cajicá y alrededores)")</f>
        <v>Bogotá (Chia, Cota, Sopó, Cajicá y alrededores)</v>
      </c>
      <c r="G40" s="6" t="str">
        <f>IFERROR(__xludf.DUMMYFUNCTION("""COMPUTED_VALUE"""),"Ingeniería Mecatrónica, Ingeniería Mecánica, Ingeniería Industrial")</f>
        <v>Ingeniería Mecatrónica, Ingeniería Mecánica, Ingeniería Industrial</v>
      </c>
      <c r="H40" s="6" t="str">
        <f>IFERROR(__xludf.DUMMYFUNCTION("""COMPUTED_VALUE"""),"1 SMMLV")</f>
        <v>1 SMMLV</v>
      </c>
      <c r="I40" s="8">
        <f>IFERROR(__xludf.DUMMYFUNCTION("""COMPUTED_VALUE"""),46260.0)</f>
        <v>46260</v>
      </c>
      <c r="J40" s="8">
        <f>IFERROR(__xludf.DUMMYFUNCTION("""COMPUTED_VALUE"""),46291.0)</f>
        <v>46291</v>
      </c>
      <c r="K40" s="7" t="str">
        <f>IFERROR(__xludf.DUMMYFUNCTION("""COMPUTED_VALUE"""),"servicioalcliente@codelca.com")</f>
        <v>servicioalcliente@codelca.com</v>
      </c>
      <c r="L40" s="3"/>
      <c r="M40" s="3"/>
      <c r="N40" s="3"/>
      <c r="O40" s="3"/>
      <c r="P40" s="3"/>
      <c r="Q40" s="3"/>
      <c r="R40" s="3"/>
      <c r="S40" s="3"/>
      <c r="T40" s="3"/>
      <c r="U40" s="3"/>
      <c r="V40" s="3"/>
      <c r="W40" s="3"/>
      <c r="X40" s="3"/>
      <c r="Y40" s="3"/>
    </row>
    <row r="41">
      <c r="A41" s="6" t="str">
        <f>IFERROR(__xludf.DUMMYFUNCTION("""COMPUTED_VALUE"""),"DIEMPAQUES")</f>
        <v>DIEMPAQUES</v>
      </c>
      <c r="B41" s="6" t="str">
        <f>IFERROR(__xludf.DUMMYFUNCTION("""COMPUTED_VALUE"""),"Ciclo tecnológico")</f>
        <v>Ciclo tecnológico</v>
      </c>
      <c r="C41" s="6" t="str">
        <f>IFERROR(__xludf.DUMMYFUNCTION("""COMPUTED_VALUE"""),"Tecnología en Gestión de Comercio Exterior")</f>
        <v>Tecnología en Gestión de Comercio Exterior</v>
      </c>
      <c r="D41" s="6" t="str">
        <f>IFERROR(__xludf.DUMMYFUNCTION("""COMPUTED_VALUE"""),"III. DESCRIPCIÓN DE FUNCIONES PRINCIPALES
1.	Revisar de forma exhaustiva la documentación necesaria para el proceso de nacionalización de mercancías importadas vía aérea o marítima, tanto de proveedores internacionales como de proveedores de servicio como"&amp;" navieras, agentes de carga, aduanas, entre otros. 
2.	Reportar los pagos generados a proveedores nacionales e internacionales. 
3.	Llevar de manera óptima y organizada el archivo físico y digital de las operaciones de comercio exterior. (Valentina – Cami"&amp;"la)
4.	Crear en el aplicativo HELISA, las nuevas referencias de productos adquiridos por la empresa. 
5.	Ingresar las ordenes de compra enviadas a los proveedores al documento F-I-09 V7 Control Órdenes de compra proveedores extranjeros
6.	Diligenciar list"&amp;"a de empaque por contenedor con la información suministrada por cada proveedor de acuerdo con las referencias embarcadas
7.	Imprimir etiquetas de cada referencia por contenedor y stickers del total de cajas
8.	Colocar sticker en cada caja y tomar registro"&amp;" fotográfico durante el descargue del contenedor
9.	Realizar el reporte por contenedor de como llegan las cajas por referencia, para el debido monitoreo de cada proveedor por parte del líder de comercio exterior 
10.	Revisar tracking de cada contenedor de"&amp;" acuerdo con la naviera
11.	Digitación declaraciones de importación para control de legalizaciones de divisas.
12.	No conformidades  con cajas de importaciones
Funciones y/o Responsabilidades Asociadas.
13.	Ingresar la información de los tiempos en los cu"&amp;"ales se desarrollaron los diferentes subprocesos de la cadena logística.
14.	Coordinar las relaciones de trabajo con otros procesos.
15.	Asegurar la mejora continua de los procesos de su área.
Funciones y/o Responsabilidades Generales.
16.	Crear y reforza"&amp;"r con sus acciones una excelente imagen y buena reputación de la empresa en todos los escenarios en que esta interactúa.
17.	Velar por el orden, limpieza y buen funcionamiento de los elementos, bienes, herramientas e instalaciones a su cargo.
18.	Cuidar y"&amp;" preservar los elementos y equipos dados por la empresa para el desarrollo de sus funciones
19.	Realizar los reportes e informes requeridos a su cargo.
20.	Cumplir con lo establecido en el reglamento interno de trabajo, reglamento de higiene y seguridad i"&amp;"ndustrial, manuales, políticas, instructivos y obligaciones contenidas en este documento y en el contrato de trabajo.
21.	Proponer y ejecutar acciones que eliminen las causas de las no conformidades presentadas.
22.	Controlar las no conformidades presenta"&amp;"das en las importaciones.
23.	Procurar el cuidado integral de su salud.
24.	Suministrar información clara, veraz y completa sobre su estado de salud.
25.	Cumplir las normas, reglamentos e instrucciones del sistema de gestión de seguridad y salud en el tra"&amp;"bajo.
26.	Informar oportunamente al empleador acerca de los peligros y riesgos latentes en el sitio de trabajo.
27.	Participar en las actividades de capacitación del sistema de gestión de salud y seguridad en el trabajo definido en el plan de capacitación"&amp;".
28.	Participar y contribuir al cumplimiento de los objetivos del sistema de gestión de salud y seguridad en el trabajo.
Otras Funciones y/o Responsabilidades. Las que le sean asignadas temporal o de manera permanente por persona autorizada, al efecto po"&amp;"rque se ha considerado su conveniencia para un mejor desempeño de la Misión u Objetivo del cargo que desempeña.
")</f>
        <v>III. DESCRIPCIÓN DE FUNCIONES PRINCIPALES
1.	Revisar de forma exhaustiva la documentación necesaria para el proceso de nacionalización de mercancías importadas vía aérea o marítima, tanto de proveedores internacionales como de proveedores de servicio como navieras, agentes de carga, aduanas, entre otros. 
2.	Reportar los pagos generados a proveedores nacionales e internacionales. 
3.	Llevar de manera óptima y organizada el archivo físico y digital de las operaciones de comercio exterior. (Valentina – Camila)
4.	Crear en el aplicativo HELISA, las nuevas referencias de productos adquiridos por la empresa. 
5.	Ingresar las ordenes de compra enviadas a los proveedores al documento F-I-09 V7 Control Órdenes de compra proveedores extranjeros
6.	Diligenciar lista de empaque por contenedor con la información suministrada por cada proveedor de acuerdo con las referencias embarcadas
7.	Imprimir etiquetas de cada referencia por contenedor y stickers del total de cajas
8.	Colocar sticker en cada caja y tomar registro fotográfico durante el descargue del contenedor
9.	Realizar el reporte por contenedor de como llegan las cajas por referencia, para el debido monitoreo de cada proveedor por parte del líder de comercio exterior 
10.	Revisar tracking de cada contenedor de acuerdo con la naviera
11.	Digitación declaraciones de importación para control de legalizaciones de divisas.
12.	No conformidades  con cajas de importaciones
Funciones y/o Responsabilidades Asociadas.
13.	Ingresar la información de los tiempos en los cuales se desarrollaron los diferentes subprocesos de la cadena logística.
14.	Coordinar las relaciones de trabajo con otros procesos.
15.	Asegurar la mejora continua de los procesos de su área.
Funciones y/o Responsabilidades Generales.
16.	Crear y reforzar con sus acciones una excelente imagen y buena reputación de la empresa en todos los escenarios en que esta interactúa.
17.	Velar por el orden, limpieza y buen funcionamiento de los elementos, bienes, herramientas e instalaciones a su cargo.
18.	Cuidar y preservar los elementos y equipos dados por la empresa para el desarrollo de sus funciones
19.	Realizar los reportes e informes requeridos a su cargo.
20.	Cumplir con lo establecido en el reglamento interno de trabajo, reglamento de higiene y seguridad industrial, manuales, políticas, instructivos y obligaciones contenidas en este documento y en el contrato de trabajo.
21.	Proponer y ejecutar acciones que eliminen las causas de las no conformidades presentadas.
22.	Controlar las no conformidades presentadas en las importaciones.
23.	Procurar el cuidado integral de su salud.
24.	Suministrar información clara, veraz y completa sobre su estado de salud.
25.	Cumplir las normas, reglamentos e instrucciones del sistema de gestión de seguridad y salud en el trabajo.
26.	Informar oportunamente al empleador acerca de los peligros y riesgos latentes en el sitio de trabajo.
27.	Participar en las actividades de capacitación del sistema de gestión de salud y seguridad en el trabajo definido en el plan de capacitación.
28.	Participar y contribuir al cumplimiento de los objetivos del sistema de gestión de salud y seguridad en el trabajo.
Otras Funciones y/o Responsabilidades. Las que le sean asignadas temporal o de manera permanente por persona autorizada, al efecto porque se ha considerado su conveniencia para un mejor desempeño de la Misión u Objetivo del cargo que desempeña.
</v>
      </c>
      <c r="E41" s="7" t="str">
        <f>IFERROR(__xludf.DUMMYFUNCTION("""COMPUTED_VALUE"""),"No")</f>
        <v>No</v>
      </c>
      <c r="F41" s="6" t="str">
        <f>IFERROR(__xludf.DUMMYFUNCTION("""COMPUTED_VALUE"""),"Bogotá (Chia, Cota, Sopó, Cajicá y alrededores)")</f>
        <v>Bogotá (Chia, Cota, Sopó, Cajicá y alrededores)</v>
      </c>
      <c r="G41" s="6" t="str">
        <f>IFERROR(__xludf.DUMMYFUNCTION("""COMPUTED_VALUE"""),"Comercio Internacional")</f>
        <v>Comercio Internacional</v>
      </c>
      <c r="H41" s="6" t="str">
        <f>IFERROR(__xludf.DUMMYFUNCTION("""COMPUTED_VALUE"""),"1 SMMLV")</f>
        <v>1 SMMLV</v>
      </c>
      <c r="I41" s="8">
        <f>IFERROR(__xludf.DUMMYFUNCTION("""COMPUTED_VALUE"""),46260.0)</f>
        <v>46260</v>
      </c>
      <c r="J41" s="8">
        <f>IFERROR(__xludf.DUMMYFUNCTION("""COMPUTED_VALUE"""),46325.0)</f>
        <v>46325</v>
      </c>
      <c r="K41" s="7" t="str">
        <f>IFERROR(__xludf.DUMMYFUNCTION("""COMPUTED_VALUE"""),"RRHH@DIEMPAQUES.COM")</f>
        <v>RRHH@DIEMPAQUES.COM</v>
      </c>
      <c r="L41" s="3"/>
      <c r="M41" s="3"/>
      <c r="N41" s="3"/>
      <c r="O41" s="3"/>
      <c r="P41" s="3"/>
      <c r="Q41" s="3"/>
      <c r="R41" s="3"/>
      <c r="S41" s="3"/>
      <c r="T41" s="3"/>
      <c r="U41" s="3"/>
      <c r="V41" s="3"/>
      <c r="W41" s="3"/>
      <c r="X41" s="3"/>
      <c r="Y41" s="3"/>
    </row>
    <row r="42">
      <c r="A42" s="6" t="str">
        <f>IFERROR(__xludf.DUMMYFUNCTION("""COMPUTED_VALUE"""),"INNOVATEQ")</f>
        <v>INNOVATEQ</v>
      </c>
      <c r="B42" s="6" t="str">
        <f>IFERROR(__xludf.DUMMYFUNCTION("""COMPUTED_VALUE"""),"Ciclo tecnológico, Ciclo profesional")</f>
        <v>Ciclo tecnológico, Ciclo profesional</v>
      </c>
      <c r="C42" s="6" t="str">
        <f>IFERROR(__xludf.DUMMYFUNCTION("""COMPUTED_VALUE"""),"Tecnología en Mercadeo y Diseño Publicitario, Tecnología en Automatización y Robótica Industrial, Tecnología en Mecánica Automotriz, Tecnología en Electrónica Industrial")</f>
        <v>Tecnología en Mercadeo y Diseño Publicitario, Tecnología en Automatización y Robótica Industrial, Tecnología en Mecánica Automotriz, Tecnología en Electrónica Industrial</v>
      </c>
      <c r="D42" s="6" t="str">
        <f>IFERROR(__xludf.DUMMYFUNCTION("""COMPUTED_VALUE"""),"Apoyar en la recepción, organización y archivo físico y digital de documentos.
Asistir en la elaboración de informes, memorandos, actas, cartas y demás comunicaciones internas.
Gestionar bases de datos y registros administrativos en Excel u otras platafor"&amp;"mas.
Colaborar en procesos de facturación, compras, inventario, cartera u otros, según el área asignada.
Apoyar la atención telefónica y presencial a usuarios internos y externos.
Hacer seguimiento a solicitudes administrativas (cotizaciones, pedidos, cor"&amp;"respondencia).
Cumplir con las actividades asignadas según el plan de aprendizaje de la institución formadora.
Manejar con confidencialidad la información institucional.
Participar en reuniones de equipo y brindar reportes oportunos de sus avances.
Respet"&amp;"ar el reglamento interno de trabajo y las normas de bioseguridad y SST.")</f>
        <v>Apoyar en la recepción, organización y archivo físico y digital de documentos.
Asistir en la elaboración de informes, memorandos, actas, cartas y demás comunicaciones internas.
Gestionar bases de datos y registros administrativos en Excel u otras plataformas.
Colaborar en procesos de facturación, compras, inventario, cartera u otros, según el área asignada.
Apoyar la atención telefónica y presencial a usuarios internos y externos.
Hacer seguimiento a solicitudes administrativas (cotizaciones, pedidos, correspondencia).
Cumplir con las actividades asignadas según el plan de aprendizaje de la institución formadora.
Manejar con confidencialidad la información institucional.
Participar en reuniones de equipo y brindar reportes oportunos de sus avances.
Respetar el reglamento interno de trabajo y las normas de bioseguridad y SST.</v>
      </c>
      <c r="E42" s="7" t="str">
        <f>IFERROR(__xludf.DUMMYFUNCTION("""COMPUTED_VALUE"""),"No")</f>
        <v>No</v>
      </c>
      <c r="F42" s="6" t="str">
        <f>IFERROR(__xludf.DUMMYFUNCTION("""COMPUTED_VALUE"""),"Bogotá (Chia, Cota, Sopó, Cajicá y alrededores)")</f>
        <v>Bogotá (Chia, Cota, Sopó, Cajicá y alrededores)</v>
      </c>
      <c r="G42" s="6" t="str">
        <f>IFERROR(__xludf.DUMMYFUNCTION("""COMPUTED_VALUE"""),"Ingeniería Mecatrónica, Ingeniería Mecánica, Ingeniería Electrónica")</f>
        <v>Ingeniería Mecatrónica, Ingeniería Mecánica, Ingeniería Electrónica</v>
      </c>
      <c r="H42" s="6" t="str">
        <f>IFERROR(__xludf.DUMMYFUNCTION("""COMPUTED_VALUE"""),"De 1 SMMLV a 2 SMMLV")</f>
        <v>De 1 SMMLV a 2 SMMLV</v>
      </c>
      <c r="I42" s="8">
        <f>IFERROR(__xludf.DUMMYFUNCTION("""COMPUTED_VALUE"""),46266.0)</f>
        <v>46266</v>
      </c>
      <c r="J42" s="8">
        <f>IFERROR(__xludf.DUMMYFUNCTION("""COMPUTED_VALUE"""),46295.0)</f>
        <v>46295</v>
      </c>
      <c r="K42" s="7" t="str">
        <f>IFERROR(__xludf.DUMMYFUNCTION("""COMPUTED_VALUE"""),"rossmery.parraga@innovateq.com.co")</f>
        <v>rossmery.parraga@innovateq.com.co</v>
      </c>
      <c r="L42" s="3"/>
      <c r="M42" s="3"/>
      <c r="N42" s="3"/>
      <c r="O42" s="3"/>
      <c r="P42" s="3"/>
      <c r="Q42" s="3"/>
      <c r="R42" s="3"/>
      <c r="S42" s="3"/>
      <c r="T42" s="3"/>
      <c r="U42" s="3"/>
      <c r="V42" s="3"/>
      <c r="W42" s="3"/>
      <c r="X42" s="3"/>
      <c r="Y42" s="3"/>
    </row>
    <row r="43">
      <c r="A43" s="6" t="str">
        <f>IFERROR(__xludf.DUMMYFUNCTION("""COMPUTED_VALUE"""),"CDA AUTOFULL S.A.S")</f>
        <v>CDA AUTOFULL S.A.S</v>
      </c>
      <c r="B43" s="6" t="str">
        <f>IFERROR(__xludf.DUMMYFUNCTION("""COMPUTED_VALUE"""),"Ciclo tecnológico")</f>
        <v>Ciclo tecnológico</v>
      </c>
      <c r="C43" s="6" t="str">
        <f>IFERROR(__xludf.DUMMYFUNCTION("""COMPUTED_VALUE"""),"Tecnología en Mecánica Automotriz")</f>
        <v>Tecnología en Mecánica Automotriz</v>
      </c>
      <c r="D43" s="6" t="str">
        <f>IFERROR(__xludf.DUMMYFUNCTION("""COMPUTED_VALUE"""),"Estudiante en etapa productiva de programas técnicos o tecnológicos relacionados con mecánica automotriz, mantenimiento de vehículos, mecatrónica, electromecánica o áreas afines, con interés en desarrollar su práctica en el sector automotor.
Buscamos una"&amp;" persona responsable, comprometida, orientada al aprendizaje, con atención al detalle y disposición para el trabajo en equipo.
Funciones 
Apoyar la realización de la Revisión Técnico-Mecánica y de Emisiones Contaminantes a vehículos livianos y motocicle"&amp;"tas.
Verificar las condiciones técnico-mecánicas y de emisiones de los vehículos de acuerdo con los procedimientos establecidos.
Aplicar los criterios técnicos y normativos definidos para cada tipo de vehículo.
Registrar de manera adecuada los resultados "&amp;"obtenidos durante las inspecciones.
Cumplir los procedimientos de seguridad, calidad y operación establecidos por el CDA.
Participar activamente en las actividades de formación y entrenamiento requeridas para el desarrollo del cargo.")</f>
        <v>Estudiante en etapa productiva de programas técnicos o tecnológicos relacionados con mecánica automotriz, mantenimiento de vehículos, mecatrónica, electromecánica o áreas afines, con interés en desarrollar su práctica en el sector automotor.
Buscamos una persona responsable, comprometida, orientada al aprendizaje, con atención al detalle y disposición para el trabajo en equipo.
Funciones 
Apoyar la realización de la Revisión Técnico-Mecánica y de Emisiones Contaminantes a vehículos livianos y motocicletas.
Verificar las condiciones técnico-mecánicas y de emisiones de los vehículos de acuerdo con los procedimientos establecidos.
Aplicar los criterios técnicos y normativos definidos para cada tipo de vehículo.
Registrar de manera adecuada los resultados obtenidos durante las inspecciones.
Cumplir los procedimientos de seguridad, calidad y operación establecidos por el CDA.
Participar activamente en las actividades de formación y entrenamiento requeridas para el desarrollo del cargo.</v>
      </c>
      <c r="E43" s="7" t="str">
        <f>IFERROR(__xludf.DUMMYFUNCTION("""COMPUTED_VALUE"""),"Si")</f>
        <v>Si</v>
      </c>
      <c r="F43" s="6" t="str">
        <f>IFERROR(__xludf.DUMMYFUNCTION("""COMPUTED_VALUE"""),"Medellín")</f>
        <v>Medellín</v>
      </c>
      <c r="G43" s="6" t="str">
        <f>IFERROR(__xludf.DUMMYFUNCTION("""COMPUTED_VALUE"""),"Ingeniería Mecánica")</f>
        <v>Ingeniería Mecánica</v>
      </c>
      <c r="H43" s="6" t="str">
        <f>IFERROR(__xludf.DUMMYFUNCTION("""COMPUTED_VALUE"""),"1 SMMLV")</f>
        <v>1 SMMLV</v>
      </c>
      <c r="I43" s="8">
        <f>IFERROR(__xludf.DUMMYFUNCTION("""COMPUTED_VALUE"""),46264.0)</f>
        <v>46264</v>
      </c>
      <c r="J43" s="8">
        <f>IFERROR(__xludf.DUMMYFUNCTION("""COMPUTED_VALUE"""),46295.0)</f>
        <v>46295</v>
      </c>
      <c r="K43" s="7" t="str">
        <f>IFERROR(__xludf.DUMMYFUNCTION("""COMPUTED_VALUE"""),"ghautofull@gmail.com")</f>
        <v>ghautofull@gmail.com</v>
      </c>
      <c r="L43" s="3"/>
      <c r="M43" s="3"/>
      <c r="N43" s="3"/>
      <c r="O43" s="3"/>
      <c r="P43" s="3"/>
      <c r="Q43" s="3"/>
      <c r="R43" s="3"/>
      <c r="S43" s="3"/>
      <c r="T43" s="3"/>
      <c r="U43" s="3"/>
      <c r="V43" s="3"/>
      <c r="W43" s="3"/>
      <c r="X43" s="3"/>
      <c r="Y43" s="3"/>
    </row>
    <row r="44">
      <c r="A44" s="6" t="str">
        <f>IFERROR(__xludf.DUMMYFUNCTION("""COMPUTED_VALUE"""),"LABORATORIO CLÍNICO COLCAN ")</f>
        <v>LABORATORIO CLÍNICO COLCAN </v>
      </c>
      <c r="B44" s="6" t="str">
        <f>IFERROR(__xludf.DUMMYFUNCTION("""COMPUTED_VALUE"""),"Ciclo profesional")</f>
        <v>Ciclo profesional</v>
      </c>
      <c r="C44" s="6" t="str">
        <f>IFERROR(__xludf.DUMMYFUNCTION("""COMPUTED_VALUE"""),"Tecnología en Mantenimiento de Equipos Biomédicos")</f>
        <v>Tecnología en Mantenimiento de Equipos Biomédicos</v>
      </c>
      <c r="D44" s="6" t="str">
        <f>IFERROR(__xludf.DUMMYFUNCTION("""COMPUTED_VALUE"""),"Importante empresa requiere para su equipo de trabajo estudiantes en el programa profesional de ingeniería industrial con interés de adquirir conocimientos en el área de Proyectos ")</f>
        <v>Importante empresa requiere para su equipo de trabajo estudiantes en el programa profesional de ingeniería industrial con interés de adquirir conocimientos en el área de Proyectos </v>
      </c>
      <c r="E44" s="7" t="str">
        <f>IFERROR(__xludf.DUMMYFUNCTION("""COMPUTED_VALUE"""),"Si")</f>
        <v>Si</v>
      </c>
      <c r="F44" s="6" t="str">
        <f>IFERROR(__xludf.DUMMYFUNCTION("""COMPUTED_VALUE"""),"Bogotá (Chia, Cota, Sopó, Cajicá y alrededores)")</f>
        <v>Bogotá (Chia, Cota, Sopó, Cajicá y alrededores)</v>
      </c>
      <c r="G44" s="6" t="str">
        <f>IFERROR(__xludf.DUMMYFUNCTION("""COMPUTED_VALUE"""),"Ingeniería Industrial")</f>
        <v>Ingeniería Industrial</v>
      </c>
      <c r="H44" s="6" t="str">
        <f>IFERROR(__xludf.DUMMYFUNCTION("""COMPUTED_VALUE"""),"1 SMMLV")</f>
        <v>1 SMMLV</v>
      </c>
      <c r="I44" s="8">
        <f>IFERROR(__xludf.DUMMYFUNCTION("""COMPUTED_VALUE"""),46260.0)</f>
        <v>46260</v>
      </c>
      <c r="J44" s="8">
        <f>IFERROR(__xludf.DUMMYFUNCTION("""COMPUTED_VALUE"""),46295.0)</f>
        <v>46295</v>
      </c>
      <c r="K44" s="7" t="str">
        <f>IFERROR(__xludf.DUMMYFUNCTION("""COMPUTED_VALUE"""),"jenny.sanchez@laboratoriocolcan.com")</f>
        <v>jenny.sanchez@laboratoriocolcan.com</v>
      </c>
      <c r="L44" s="3"/>
      <c r="M44" s="3"/>
      <c r="N44" s="3"/>
      <c r="O44" s="3"/>
      <c r="P44" s="3"/>
      <c r="Q44" s="3"/>
      <c r="R44" s="3"/>
      <c r="S44" s="3"/>
      <c r="T44" s="3"/>
      <c r="U44" s="3"/>
      <c r="V44" s="3"/>
      <c r="W44" s="3"/>
      <c r="X44" s="3"/>
      <c r="Y44" s="3"/>
    </row>
    <row r="45">
      <c r="A45" s="6" t="str">
        <f>IFERROR(__xludf.DUMMYFUNCTION("""COMPUTED_VALUE"""),"IFX NETWORKS")</f>
        <v>IFX NETWORKS</v>
      </c>
      <c r="B45" s="6" t="str">
        <f>IFERROR(__xludf.DUMMYFUNCTION("""COMPUTED_VALUE"""),"Ciclo tecnológico")</f>
        <v>Ciclo tecnológico</v>
      </c>
      <c r="C45" s="6" t="str">
        <f>IFERROR(__xludf.DUMMYFUNCTION("""COMPUTED_VALUE"""),"Tecnología en Gestión Contable")</f>
        <v>Tecnología en Gestión Contable</v>
      </c>
      <c r="D45" s="6" t="str">
        <f>IFERROR(__xludf.DUMMYFUNCTION("""COMPUTED_VALUE"""),"🎯 Rol: Aprendiz Administrativo CX
Misión:
Apoyar al área de CX en la gestión de información, documentación y seguimiento de requerimientos de clientes.
📌 FUnciones:
Apoyar la gestión y actualización de información de clientes.
Realizar seguimiento a s"&amp;"olicitudes y requerimientos.
Organizar y validar documentación.
Actualizar bases de datos y herramientas de control.
Apoyar reportes y actividades administrativas del área.
📌 Requisitos clave:
Estudiante técnico o tecnólogo en Administración de Empresa"&amp;"s, Ingeniería Industrial o carreras afines, con aval institucional para prácticas bajo contrato de aprendizaje. (Ten en cuenta que, si tu practica es de carrera profesional, tu perfil NO será considerado en esta oportunidad.)
Tener aval para realizar prac"&amp;"ticas bajo contrato de aprendizaje SENA.
Deseable: disponibilidad y aval inmediato para la practica.
Conocimientos en herramientas de ofimática (Excel, Word, Outlook).
Habilidades de organización, comunicación y trabajo en equipo.
Actitud proactiva y orie"&amp;"ntación al logro.")</f>
        <v>🎯 Rol: Aprendiz Administrativo CX
Misión:
Apoyar al área de CX en la gestión de información, documentación y seguimiento de requerimientos de clientes.
📌 FUnciones:
Apoyar la gestión y actualización de información de clientes.
Realizar seguimiento a solicitudes y requerimientos.
Organizar y validar documentación.
Actualizar bases de datos y herramientas de control.
Apoyar reportes y actividades administrativas del área.
📌 Requisitos clave:
Estudiante técnico o tecnólogo en Administración de Empresas, Ingeniería Industrial o carreras afines, con aval institucional para prácticas bajo contrato de aprendizaje. (Ten en cuenta que, si tu practica es de carrera profesional, tu perfil NO será considerado en esta oportunidad.)
Tener aval para realizar practicas bajo contrato de aprendizaje SENA.
Deseable: disponibilidad y aval inmediato para la practica.
Conocimientos en herramientas de ofimática (Excel, Word, Outlook).
Habilidades de organización, comunicación y trabajo en equipo.
Actitud proactiva y orientación al logro.</v>
      </c>
      <c r="E45" s="7" t="str">
        <f>IFERROR(__xludf.DUMMYFUNCTION("""COMPUTED_VALUE"""),"Si")</f>
        <v>Si</v>
      </c>
      <c r="F45" s="6" t="str">
        <f>IFERROR(__xludf.DUMMYFUNCTION("""COMPUTED_VALUE"""),"Bogotá (Chia, Cota, Sopó, Cajicá y alrededores)")</f>
        <v>Bogotá (Chia, Cota, Sopó, Cajicá y alrededores)</v>
      </c>
      <c r="G45" s="6" t="str">
        <f>IFERROR(__xludf.DUMMYFUNCTION("""COMPUTED_VALUE"""),"Administración de Empresas Virtual")</f>
        <v>Administración de Empresas Virtual</v>
      </c>
      <c r="H45" s="6" t="str">
        <f>IFERROR(__xludf.DUMMYFUNCTION("""COMPUTED_VALUE"""),"1 SMMLV")</f>
        <v>1 SMMLV</v>
      </c>
      <c r="I45" s="8">
        <f>IFERROR(__xludf.DUMMYFUNCTION("""COMPUTED_VALUE"""),46260.0)</f>
        <v>46260</v>
      </c>
      <c r="J45" s="8">
        <f>IFERROR(__xludf.DUMMYFUNCTION("""COMPUTED_VALUE"""),46371.0)</f>
        <v>46371</v>
      </c>
      <c r="K45" s="7" t="str">
        <f>IFERROR(__xludf.DUMMYFUNCTION("""COMPUTED_VALUE"""),"jreal@ifxcorp.com")</f>
        <v>jreal@ifxcorp.com</v>
      </c>
      <c r="L45" s="3"/>
      <c r="M45" s="3"/>
      <c r="N45" s="3"/>
      <c r="O45" s="3"/>
      <c r="P45" s="3"/>
      <c r="Q45" s="3"/>
      <c r="R45" s="3"/>
      <c r="S45" s="3"/>
      <c r="T45" s="3"/>
      <c r="U45" s="3"/>
      <c r="V45" s="3"/>
      <c r="W45" s="3"/>
      <c r="X45" s="3"/>
      <c r="Y45" s="3"/>
    </row>
    <row r="46">
      <c r="A46" s="6" t="str">
        <f>IFERROR(__xludf.DUMMYFUNCTION("""COMPUTED_VALUE"""),"COMERCIALIZADORA TEXTIL DYSATEX SAS")</f>
        <v>COMERCIALIZADORA TEXTIL DYSATEX SAS</v>
      </c>
      <c r="B46" s="6" t="str">
        <f>IFERROR(__xludf.DUMMYFUNCTION("""COMPUTED_VALUE"""),"Ciclo tecnológico")</f>
        <v>Ciclo tecnológico</v>
      </c>
      <c r="C46" s="6" t="str">
        <f>IFERROR(__xludf.DUMMYFUNCTION("""COMPUTED_VALUE"""),"Tecnología en Gestión Contable, Tecnología en Gestión de Comercio Exterior")</f>
        <v>Tecnología en Gestión Contable, Tecnología en Gestión de Comercio Exterior</v>
      </c>
      <c r="D46" s="6" t="str">
        <f>IFERROR(__xludf.DUMMYFUNCTION("""COMPUTED_VALUE"""),"Gestion documental, archivo en nube y actividades relacionadas con el perfil")</f>
        <v>Gestion documental, archivo en nube y actividades relacionadas con el perfil</v>
      </c>
      <c r="E46" s="7" t="str">
        <f>IFERROR(__xludf.DUMMYFUNCTION("""COMPUTED_VALUE"""),"No")</f>
        <v>No</v>
      </c>
      <c r="F46" s="6" t="str">
        <f>IFERROR(__xludf.DUMMYFUNCTION("""COMPUTED_VALUE"""),"Bogotá (Chia, Cota, Sopó, Cajicá y alrededores)")</f>
        <v>Bogotá (Chia, Cota, Sopó, Cajicá y alrededores)</v>
      </c>
      <c r="G46" s="6" t="str">
        <f>IFERROR(__xludf.DUMMYFUNCTION("""COMPUTED_VALUE"""),"Contaduría Pública, Comercio Internacional, Administración de Empresas Virtual")</f>
        <v>Contaduría Pública, Comercio Internacional, Administración de Empresas Virtual</v>
      </c>
      <c r="H46" s="6" t="str">
        <f>IFERROR(__xludf.DUMMYFUNCTION("""COMPUTED_VALUE"""),"1 SMMLV")</f>
        <v>1 SMMLV</v>
      </c>
      <c r="I46" s="8">
        <f>IFERROR(__xludf.DUMMYFUNCTION("""COMPUTED_VALUE"""),46261.0)</f>
        <v>46261</v>
      </c>
      <c r="J46" s="8">
        <f>IFERROR(__xludf.DUMMYFUNCTION("""COMPUTED_VALUE"""),46325.0)</f>
        <v>46325</v>
      </c>
      <c r="K46" s="7" t="str">
        <f>IFERROR(__xludf.DUMMYFUNCTION("""COMPUTED_VALUE"""),"contabilidad@dysatex.com")</f>
        <v>contabilidad@dysatex.com</v>
      </c>
      <c r="L46" s="3"/>
      <c r="M46" s="3"/>
      <c r="N46" s="3"/>
      <c r="O46" s="3"/>
      <c r="P46" s="3"/>
      <c r="Q46" s="3"/>
      <c r="R46" s="3"/>
      <c r="S46" s="3"/>
      <c r="T46" s="3"/>
      <c r="U46" s="3"/>
      <c r="V46" s="3"/>
      <c r="W46" s="3"/>
      <c r="X46" s="3"/>
      <c r="Y46" s="3"/>
    </row>
    <row r="47">
      <c r="A47" s="6" t="str">
        <f>IFERROR(__xludf.DUMMYFUNCTION("""COMPUTED_VALUE"""),"GLC GROUP SAS")</f>
        <v>GLC GROUP SAS</v>
      </c>
      <c r="B47" s="6" t="str">
        <f>IFERROR(__xludf.DUMMYFUNCTION("""COMPUTED_VALUE"""),"Ciclo tecnológico, Ciclo profesional")</f>
        <v>Ciclo tecnológico, Ciclo profesional</v>
      </c>
      <c r="C47" s="6" t="str">
        <f>IFERROR(__xludf.DUMMYFUNCTION("""COMPUTED_VALUE"""),"Tecnología en Gestión Gastronómica")</f>
        <v>Tecnología en Gestión Gastronómica</v>
      </c>
      <c r="D47" s="6" t="str">
        <f>IFERROR(__xludf.DUMMYFUNCTION("""COMPUTED_VALUE"""),"El Restaurante La Picadería, perteneciente a GLC GROUP, abre sus puertas a estudiantes de Gastronomía de la Universidad ECCI interesados en realizar sus pasantías o prácticas académicas en un entorno gastronómico profesional, dinámico y orientado al apren"&amp;"dizaje.
¿Quiénes somos?
La Picadería es un restaurante campestre ubicado al norte de Bogotá, enfocado en brindar una experiencia gastronómica de alta calidad, donde convergen la cocina, el servicio, la creatividad y el trabajo en equipo.
Estudiantes de "&amp;"Gastronomía que tengan interés en desarrollar su experiencia práctica en áreas como:
Cocina y producción gastronómica.
Mise en place y preparación de alimentos.
Técnicas culinarias.
Panadería y pastelería.
Manejo y transformación de materias primas.
Buen"&amp;"as Prácticas de Manufactura (BPM).")</f>
        <v>El Restaurante La Picadería, perteneciente a GLC GROUP, abre sus puertas a estudiantes de Gastronomía de la Universidad ECCI interesados en realizar sus pasantías o prácticas académicas en un entorno gastronómico profesional, dinámico y orientado al aprendizaje.
¿Quiénes somos?
La Picadería es un restaurante campestre ubicado al norte de Bogotá, enfocado en brindar una experiencia gastronómica de alta calidad, donde convergen la cocina, el servicio, la creatividad y el trabajo en equipo.
Estudiantes de Gastronomía que tengan interés en desarrollar su experiencia práctica en áreas como:
Cocina y producción gastronómica.
Mise en place y preparación de alimentos.
Técnicas culinarias.
Panadería y pastelería.
Manejo y transformación de materias primas.
Buenas Prácticas de Manufactura (BPM).</v>
      </c>
      <c r="E47" s="7" t="str">
        <f>IFERROR(__xludf.DUMMYFUNCTION("""COMPUTED_VALUE"""),"No")</f>
        <v>No</v>
      </c>
      <c r="F47" s="6" t="str">
        <f>IFERROR(__xludf.DUMMYFUNCTION("""COMPUTED_VALUE"""),"Bogotá (Chia, Cota, Sopó, Cajicá y alrededores)")</f>
        <v>Bogotá (Chia, Cota, Sopó, Cajicá y alrededores)</v>
      </c>
      <c r="G47" s="6" t="str">
        <f>IFERROR(__xludf.DUMMYFUNCTION("""COMPUTED_VALUE"""),"Gastronomía")</f>
        <v>Gastronomía</v>
      </c>
      <c r="H47" s="6" t="str">
        <f>IFERROR(__xludf.DUMMYFUNCTION("""COMPUTED_VALUE"""),"Menos de 1 SMMLV")</f>
        <v>Menos de 1 SMMLV</v>
      </c>
      <c r="I47" s="8">
        <f>IFERROR(__xludf.DUMMYFUNCTION("""COMPUTED_VALUE"""),46262.0)</f>
        <v>46262</v>
      </c>
      <c r="J47" s="8">
        <f>IFERROR(__xludf.DUMMYFUNCTION("""COMPUTED_VALUE"""),46326.0)</f>
        <v>46326</v>
      </c>
      <c r="K47" s="7" t="str">
        <f>IFERROR(__xludf.DUMMYFUNCTION("""COMPUTED_VALUE"""),"gestionhumana@grupolacondesa.com")</f>
        <v>gestionhumana@grupolacondesa.com</v>
      </c>
      <c r="L47" s="3"/>
      <c r="M47" s="3"/>
      <c r="N47" s="3"/>
      <c r="O47" s="3"/>
      <c r="P47" s="3"/>
      <c r="Q47" s="3"/>
      <c r="R47" s="3"/>
      <c r="S47" s="3"/>
      <c r="T47" s="3"/>
      <c r="U47" s="3"/>
      <c r="V47" s="3"/>
      <c r="W47" s="3"/>
      <c r="X47" s="3"/>
      <c r="Y47" s="3"/>
    </row>
    <row r="48">
      <c r="A48" s="6" t="str">
        <f>IFERROR(__xludf.DUMMYFUNCTION("""COMPUTED_VALUE"""),"MAQUICARDAN")</f>
        <v>MAQUICARDAN</v>
      </c>
      <c r="B48" s="6" t="str">
        <f>IFERROR(__xludf.DUMMYFUNCTION("""COMPUTED_VALUE"""),"Ciclo tecnológico, Ciclo profesional")</f>
        <v>Ciclo tecnológico, Ciclo profesional</v>
      </c>
      <c r="C48" s="6" t="str">
        <f>IFERROR(__xludf.DUMMYFUNCTION("""COMPUTED_VALUE"""),"Tecnología en Mecánica Industrial, Tecnología en Mecánica Automotriz, Tecnología en Gestión de Procesos Industriales")</f>
        <v>Tecnología en Mecánica Industrial, Tecnología en Mecánica Automotriz, Tecnología en Gestión de Procesos Industriales</v>
      </c>
      <c r="D48" s="6" t="str">
        <f>IFERROR(__xludf.DUMMYFUNCTION("""COMPUTED_VALUE"""),"Empresa del sector industrial, con sedes en Bogotá y Funza, Cundinamarca, se encuentra en la búsqueda de un Ingeniero Mecánico Junior para fortalecer su equipo de trabajo. 
Requisitos: Estudiante en minimo sexto semestre o profesional en Ingeniería Mecán"&amp;"ica o carreras afines. 
Experiencia mínima de 6 meses en áreas de mantenimiento, producción o calidad. Conocimientos en procesos industriales, control de calidad y normativas técnicas. 
Manejo de herramientas ofimáticas. 
Residencia en Bogotá o municipio"&amp;"s aledaños (preferiblemente cercanos a Fontibón o Funza). 
Funciones principales: 
*Inspeccionar y probar la calidad en distintas etapas de producción y mantenimiento, garantizando el cumplimiento de especificaciones y normativas vigentes. 
*Aprobar la s"&amp;"alida de productos conforme a los estándares establecidos. Identificar, documentar y reportar oportunamente no conformidades al área operativa. 
*Apoyar en la ejecución de planes de mantenimiento preventivo y correctivo. 
*Proponer mejoras en procesos mec"&amp;"ánicos para optimizar la eficiencia operativa. 
Ofrecemos: Vinculación laboral en una empresa sólida del sector industrial. 
Experiencia y aprendizaje en procesos de producción y mantenimiento mecánico. 
Ambiente dinámico con oportunidades de desarrollo "&amp;"profesional. 
Ubicación estratégica en Funza, Cundinamarca, o Fontibón, Bogotá. 
Remuneración: 1 a 2 SMLV - Se define segun la experiencia y formación. 
Horario: 
1er Turno: Lunes a viernes: 8:00 a.m. a 4:30 p.m. 
2do Turno: Lunes a viernes: 10:00 a.m. a"&amp;" 6:30 p.m. 
Sábados: Medio dia. (Flexibilidad en caso de compromisos académicos o de formación).")</f>
        <v>Empresa del sector industrial, con sedes en Bogotá y Funza, Cundinamarca, se encuentra en la búsqueda de un Ingeniero Mecánico Junior para fortalecer su equipo de trabajo. 
Requisitos: Estudiante en minimo sexto semestre o profesional en Ingeniería Mecánica o carreras afines. 
Experiencia mínima de 6 meses en áreas de mantenimiento, producción o calidad. Conocimientos en procesos industriales, control de calidad y normativas técnicas. 
Manejo de herramientas ofimáticas. 
Residencia en Bogotá o municipios aledaños (preferiblemente cercanos a Fontibón o Funza). 
Funciones principales: 
*Inspeccionar y probar la calidad en distintas etapas de producción y mantenimiento, garantizando el cumplimiento de especificaciones y normativas vigentes. 
*Aprobar la salida de productos conforme a los estándares establecidos. Identificar, documentar y reportar oportunamente no conformidades al área operativa. 
*Apoyar en la ejecución de planes de mantenimiento preventivo y correctivo. 
*Proponer mejoras en procesos mecánicos para optimizar la eficiencia operativa. 
Ofrecemos: Vinculación laboral en una empresa sólida del sector industrial. 
Experiencia y aprendizaje en procesos de producción y mantenimiento mecánico. 
Ambiente dinámico con oportunidades de desarrollo profesional. 
Ubicación estratégica en Funza, Cundinamarca, o Fontibón, Bogotá. 
Remuneración: 1 a 2 SMLV - Se define segun la experiencia y formación. 
Horario: 
1er Turno: Lunes a viernes: 8:00 a.m. a 4:30 p.m. 
2do Turno: Lunes a viernes: 10:00 a.m. a 6:30 p.m. 
Sábados: Medio dia. (Flexibilidad en caso de compromisos académicos o de formación).</v>
      </c>
      <c r="E48" s="7" t="str">
        <f>IFERROR(__xludf.DUMMYFUNCTION("""COMPUTED_VALUE"""),"No")</f>
        <v>No</v>
      </c>
      <c r="F48" s="6" t="str">
        <f>IFERROR(__xludf.DUMMYFUNCTION("""COMPUTED_VALUE"""),"Bogotá (Chia, Cota, Sopó, Cajicá y alrededores)")</f>
        <v>Bogotá (Chia, Cota, Sopó, Cajicá y alrededores)</v>
      </c>
      <c r="G48" s="6" t="str">
        <f>IFERROR(__xludf.DUMMYFUNCTION("""COMPUTED_VALUE"""),"Ingeniería Mecánica, Ingeniería Industrial")</f>
        <v>Ingeniería Mecánica, Ingeniería Industrial</v>
      </c>
      <c r="H48" s="6" t="str">
        <f>IFERROR(__xludf.DUMMYFUNCTION("""COMPUTED_VALUE"""),"De 1 SMMLV a 2 SMMLV")</f>
        <v>De 1 SMMLV a 2 SMMLV</v>
      </c>
      <c r="I48" s="8">
        <f>IFERROR(__xludf.DUMMYFUNCTION("""COMPUTED_VALUE"""),46261.0)</f>
        <v>46261</v>
      </c>
      <c r="J48" s="8">
        <f>IFERROR(__xludf.DUMMYFUNCTION("""COMPUTED_VALUE"""),46356.0)</f>
        <v>46356</v>
      </c>
      <c r="K48" s="7" t="str">
        <f>IFERROR(__xludf.DUMMYFUNCTION("""COMPUTED_VALUE"""),"gestionhumana@maqui-cardan.com")</f>
        <v>gestionhumana@maqui-cardan.com</v>
      </c>
      <c r="L48" s="3"/>
      <c r="M48" s="3"/>
      <c r="N48" s="3"/>
      <c r="O48" s="3"/>
      <c r="P48" s="3"/>
      <c r="Q48" s="3"/>
      <c r="R48" s="3"/>
      <c r="S48" s="3"/>
      <c r="T48" s="3"/>
      <c r="U48" s="3"/>
      <c r="V48" s="3"/>
      <c r="W48" s="3"/>
      <c r="X48" s="3"/>
      <c r="Y48" s="3"/>
    </row>
    <row r="49">
      <c r="A49" s="6" t="str">
        <f>IFERROR(__xludf.DUMMYFUNCTION("""COMPUTED_VALUE"""),"ALCALDIA DE COTA")</f>
        <v>ALCALDIA DE COTA</v>
      </c>
      <c r="B49" s="6" t="str">
        <f>IFERROR(__xludf.DUMMYFUNCTION("""COMPUTED_VALUE"""),"Ciclo profesional")</f>
        <v>Ciclo profesional</v>
      </c>
      <c r="C49" s="6" t="str">
        <f>IFERROR(__xludf.DUMMYFUNCTION("""COMPUTED_VALUE"""),"No aplica")</f>
        <v>No aplica</v>
      </c>
      <c r="D49" s="6" t="str">
        <f>IFERROR(__xludf.DUMMYFUNCTION("""COMPUTED_VALUE"""),"La alcaldia de cota requiere vincular pasantes de pregrado universitario que deseen realizar sus prácticas empresariales por vínculo formativo.")</f>
        <v>La alcaldia de cota requiere vincular pasantes de pregrado universitario que deseen realizar sus prácticas empresariales por vínculo formativo.</v>
      </c>
      <c r="E49" s="7" t="str">
        <f>IFERROR(__xludf.DUMMYFUNCTION("""COMPUTED_VALUE"""),"Si")</f>
        <v>Si</v>
      </c>
      <c r="F49" s="6" t="str">
        <f>IFERROR(__xludf.DUMMYFUNCTION("""COMPUTED_VALUE"""),"Bogotá (Chia, Cota, Sopó, Cajicá y alrededores)")</f>
        <v>Bogotá (Chia, Cota, Sopó, Cajicá y alrededores)</v>
      </c>
      <c r="G49" s="6" t="str">
        <f>IFERROR(__xludf.DUMMYFUNCTION("""COMPUTED_VALUE"""),"Profesional en Entrenamiento Deportivo, Contaduría Pública, Comercio Internacional, Administración de Empresas Virtual, Lenguas Modernas, Derecho, Ingeniería Química, Ingeniería Mecánica, Ingeniería Industrial, Ingeniería de Sistemas, Ingeniería Ambiental"&amp;", Estadística")</f>
        <v>Profesional en Entrenamiento Deportivo, Contaduría Pública, Comercio Internacional, Administración de Empresas Virtual, Lenguas Modernas, Derecho, Ingeniería Química, Ingeniería Mecánica, Ingeniería Industrial, Ingeniería de Sistemas, Ingeniería Ambiental, Estadística</v>
      </c>
      <c r="H49" s="6" t="str">
        <f>IFERROR(__xludf.DUMMYFUNCTION("""COMPUTED_VALUE"""),"Menos de 1 SMMLV")</f>
        <v>Menos de 1 SMMLV</v>
      </c>
      <c r="I49" s="8">
        <f>IFERROR(__xludf.DUMMYFUNCTION("""COMPUTED_VALUE"""),46261.0)</f>
        <v>46261</v>
      </c>
      <c r="J49" s="8">
        <f>IFERROR(__xludf.DUMMYFUNCTION("""COMPUTED_VALUE"""),46371.0)</f>
        <v>46371</v>
      </c>
      <c r="K49" s="7" t="str">
        <f>IFERROR(__xludf.DUMMYFUNCTION("""COMPUTED_VALUE"""),"pirula.vivi@gmail.com")</f>
        <v>pirula.vivi@gmail.com</v>
      </c>
      <c r="L49" s="3"/>
      <c r="M49" s="3"/>
      <c r="N49" s="3"/>
      <c r="O49" s="3"/>
      <c r="P49" s="3"/>
      <c r="Q49" s="3"/>
      <c r="R49" s="3"/>
      <c r="S49" s="3"/>
      <c r="T49" s="3"/>
      <c r="U49" s="3"/>
      <c r="V49" s="3"/>
      <c r="W49" s="3"/>
      <c r="X49" s="3"/>
      <c r="Y49" s="3"/>
    </row>
    <row r="50">
      <c r="A50" s="6" t="str">
        <f>IFERROR(__xludf.DUMMYFUNCTION("""COMPUTED_VALUE"""),"ARKOS SISTEMAS ARQUITECTONICOS SA")</f>
        <v>ARKOS SISTEMAS ARQUITECTONICOS SA</v>
      </c>
      <c r="B50" s="6" t="str">
        <f>IFERROR(__xludf.DUMMYFUNCTION("""COMPUTED_VALUE"""),"Ciclo tecnológico, Ciclo profesional")</f>
        <v>Ciclo tecnológico, Ciclo profesional</v>
      </c>
      <c r="C50" s="6" t="str">
        <f>IFERROR(__xludf.DUMMYFUNCTION("""COMPUTED_VALUE"""),"Tecnología en Soporte de Telecomunicaciones")</f>
        <v>Tecnología en Soporte de Telecomunicaciones</v>
      </c>
      <c r="D50" s="6" t="str">
        <f>IFERROR(__xludf.DUMMYFUNCTION("""COMPUTED_VALUE"""),"Nos encontramos en búsqueda de un Practicante de Sistemas, con actitud de servicio, disposición para aprender y pasión por la tecnología.
Objetivo del cargo
Brindar apoyo al área de Tecnología en la atención y solución de requerimientos de soporte técni"&amp;"co, contribuyendo al correcto funcionamiento de los equipos, sistemas y herramientas tecnológicas de la organización.")</f>
        <v>Nos encontramos en búsqueda de un Practicante de Sistemas, con actitud de servicio, disposición para aprender y pasión por la tecnología.
Objetivo del cargo
Brindar apoyo al área de Tecnología en la atención y solución de requerimientos de soporte técnico, contribuyendo al correcto funcionamiento de los equipos, sistemas y herramientas tecnológicas de la organización.</v>
      </c>
      <c r="E50" s="7" t="str">
        <f>IFERROR(__xludf.DUMMYFUNCTION("""COMPUTED_VALUE"""),"Si")</f>
        <v>Si</v>
      </c>
      <c r="F50" s="6" t="str">
        <f>IFERROR(__xludf.DUMMYFUNCTION("""COMPUTED_VALUE"""),"Bogotá (Chia, Cota, Sopó, Cajicá y alrededores)")</f>
        <v>Bogotá (Chia, Cota, Sopó, Cajicá y alrededores)</v>
      </c>
      <c r="G50" s="6" t="str">
        <f>IFERROR(__xludf.DUMMYFUNCTION("""COMPUTED_VALUE"""),"Ingeniería de Sistemas")</f>
        <v>Ingeniería de Sistemas</v>
      </c>
      <c r="H50" s="6" t="str">
        <f>IFERROR(__xludf.DUMMYFUNCTION("""COMPUTED_VALUE"""),"1 SMMLV")</f>
        <v>1 SMMLV</v>
      </c>
      <c r="I50" s="8">
        <f>IFERROR(__xludf.DUMMYFUNCTION("""COMPUTED_VALUE"""),46262.0)</f>
        <v>46262</v>
      </c>
      <c r="J50" s="8">
        <f>IFERROR(__xludf.DUMMYFUNCTION("""COMPUTED_VALUE"""),46295.0)</f>
        <v>46295</v>
      </c>
      <c r="K50" s="7" t="str">
        <f>IFERROR(__xludf.DUMMYFUNCTION("""COMPUTED_VALUE"""),"karla.puerto@arkos.com.co")</f>
        <v>karla.puerto@arkos.com.co</v>
      </c>
      <c r="L50" s="3"/>
      <c r="M50" s="3"/>
      <c r="N50" s="3"/>
      <c r="O50" s="3"/>
      <c r="P50" s="3"/>
      <c r="Q50" s="3"/>
      <c r="R50" s="3"/>
      <c r="S50" s="3"/>
      <c r="T50" s="3"/>
      <c r="U50" s="3"/>
      <c r="V50" s="3"/>
      <c r="W50" s="3"/>
      <c r="X50" s="3"/>
      <c r="Y50" s="3"/>
    </row>
    <row r="51">
      <c r="A51" s="6" t="str">
        <f>IFERROR(__xludf.DUMMYFUNCTION("""COMPUTED_VALUE"""),"COPROPIEDAD ZONA FRANCA DE BOGOTÁ P.H.")</f>
        <v>COPROPIEDAD ZONA FRANCA DE BOGOTÁ P.H.</v>
      </c>
      <c r="B51" s="6" t="str">
        <f>IFERROR(__xludf.DUMMYFUNCTION("""COMPUTED_VALUE"""),"Ciclo tecnológico, Ciclo profesional")</f>
        <v>Ciclo tecnológico, Ciclo profesional</v>
      </c>
      <c r="C51" s="6" t="str">
        <f>IFERROR(__xludf.DUMMYFUNCTION("""COMPUTED_VALUE"""),"Tecnología en Mecánica Automotriz")</f>
        <v>Tecnología en Mecánica Automotriz</v>
      </c>
      <c r="D51" s="6" t="str">
        <f>IFERROR(__xludf.DUMMYFUNCTION("""COMPUTED_VALUE"""),"Buscamos estudiantes en etapa productiva, contrato de aprendizaje Sena por 6 meses, para dar soporte en el mantenimiento preventivo y correctivo de la flota de buses de la ZFB . Lugar Zona Franca de Bogotá, Fontibón. Inicio de Prácticas una persona en Oct"&amp;"ubre y otra persona en Diciembre 2026")</f>
        <v>Buscamos estudiantes en etapa productiva, contrato de aprendizaje Sena por 6 meses, para dar soporte en el mantenimiento preventivo y correctivo de la flota de buses de la ZFB . Lugar Zona Franca de Bogotá, Fontibón. Inicio de Prácticas una persona en Octubre y otra persona en Diciembre 2026</v>
      </c>
      <c r="E51" s="7" t="str">
        <f>IFERROR(__xludf.DUMMYFUNCTION("""COMPUTED_VALUE"""),"Si")</f>
        <v>Si</v>
      </c>
      <c r="F51" s="6" t="str">
        <f>IFERROR(__xludf.DUMMYFUNCTION("""COMPUTED_VALUE"""),"Bogotá (Chia, Cota, Sopó, Cajicá y alrededores)")</f>
        <v>Bogotá (Chia, Cota, Sopó, Cajicá y alrededores)</v>
      </c>
      <c r="G51" s="6" t="str">
        <f>IFERROR(__xludf.DUMMYFUNCTION("""COMPUTED_VALUE"""),"Ingeniería Mecánica")</f>
        <v>Ingeniería Mecánica</v>
      </c>
      <c r="H51" s="6" t="str">
        <f>IFERROR(__xludf.DUMMYFUNCTION("""COMPUTED_VALUE"""),"1 SMMLV")</f>
        <v>1 SMMLV</v>
      </c>
      <c r="I51" s="8">
        <f>IFERROR(__xludf.DUMMYFUNCTION("""COMPUTED_VALUE"""),46262.0)</f>
        <v>46262</v>
      </c>
      <c r="J51" s="8">
        <f>IFERROR(__xludf.DUMMYFUNCTION("""COMPUTED_VALUE"""),46308.0)</f>
        <v>46308</v>
      </c>
      <c r="K51" s="7" t="str">
        <f>IFERROR(__xludf.DUMMYFUNCTION("""COMPUTED_VALUE"""),"gestionintegral@zonafrancabogota.com")</f>
        <v>gestionintegral@zonafrancabogota.com</v>
      </c>
      <c r="L51" s="3"/>
      <c r="M51" s="3"/>
      <c r="N51" s="3"/>
      <c r="O51" s="3"/>
      <c r="P51" s="3"/>
      <c r="Q51" s="3"/>
      <c r="R51" s="3"/>
      <c r="S51" s="3"/>
      <c r="T51" s="3"/>
      <c r="U51" s="3"/>
      <c r="V51" s="3"/>
      <c r="W51" s="3"/>
      <c r="X51" s="3"/>
      <c r="Y51" s="3"/>
    </row>
    <row r="52">
      <c r="A52" s="6" t="str">
        <f>IFERROR(__xludf.DUMMYFUNCTION("""COMPUTED_VALUE"""),"PROTEX S.A.S")</f>
        <v>PROTEX S.A.S</v>
      </c>
      <c r="B52" s="6" t="str">
        <f>IFERROR(__xludf.DUMMYFUNCTION("""COMPUTED_VALUE"""),"Ciclo tecnológico, Ciclo profesional")</f>
        <v>Ciclo tecnológico, Ciclo profesional</v>
      </c>
      <c r="C52" s="6" t="str">
        <f>IFERROR(__xludf.DUMMYFUNCTION("""COMPUTED_VALUE"""),"Tecnología en Mecánica Industrial, Tecnología en Gestión de Procesos Industriales, Tecnología en Electrónica Industrial, Tecnología en Desarrollo Informático")</f>
        <v>Tecnología en Mecánica Industrial, Tecnología en Gestión de Procesos Industriales, Tecnología en Electrónica Industrial, Tecnología en Desarrollo Informático</v>
      </c>
      <c r="D52" s="6" t="str">
        <f>IFERROR(__xludf.DUMMYFUNCTION("""COMPUTED_VALUE"""),"Empresa del sector manufacturero requiere para su equipo de trabajo aprendices de carreras administrativas o de ingeniería relacionadas con el área de mantenimiento, interesados en realizar su etapa práctica y adquirir experiencia en un entorno industrial"&amp;".
La práctica estará enfocada en el apoyo a procesos administrativos y operativos del área de mantenimiento, seguimiento de información, elaboración de reportes, manejo de documentación y demás actividades relacionadas con el área.
📍 Lugar de trabajo: "&amp;"Funza – Parque Industrial San José
🕐 Horario: Lunes a viernes
📄 Tipo de vinculación: Contrato de aprendizaje
🎓 Perfil: Estudiantes en etapa práctica de carreras administrativas o ingenierías relacionadas con mantenimiento.")</f>
        <v>Empresa del sector manufacturero requiere para su equipo de trabajo aprendices de carreras administrativas o de ingeniería relacionadas con el área de mantenimiento, interesados en realizar su etapa práctica y adquirir experiencia en un entorno industrial.
La práctica estará enfocada en el apoyo a procesos administrativos y operativos del área de mantenimiento, seguimiento de información, elaboración de reportes, manejo de documentación y demás actividades relacionadas con el área.
📍 Lugar de trabajo: Funza – Parque Industrial San José
🕐 Horario: Lunes a viernes
📄 Tipo de vinculación: Contrato de aprendizaje
🎓 Perfil: Estudiantes en etapa práctica de carreras administrativas o ingenierías relacionadas con mantenimiento.</v>
      </c>
      <c r="E52" s="7" t="str">
        <f>IFERROR(__xludf.DUMMYFUNCTION("""COMPUTED_VALUE"""),"Si")</f>
        <v>Si</v>
      </c>
      <c r="F52" s="6" t="str">
        <f>IFERROR(__xludf.DUMMYFUNCTION("""COMPUTED_VALUE"""),"Bogotá (Chia, Cota, Sopó, Cajicá y alrededores)")</f>
        <v>Bogotá (Chia, Cota, Sopó, Cajicá y alrededores)</v>
      </c>
      <c r="G52" s="6" t="str">
        <f>IFERROR(__xludf.DUMMYFUNCTION("""COMPUTED_VALUE"""),"Ingeniería Mecánica, Ingeniería Industrial, Ingeniería Electrónica, Ingeniería de Sistemas")</f>
        <v>Ingeniería Mecánica, Ingeniería Industrial, Ingeniería Electrónica, Ingeniería de Sistemas</v>
      </c>
      <c r="H52" s="6" t="str">
        <f>IFERROR(__xludf.DUMMYFUNCTION("""COMPUTED_VALUE"""),"1 SMMLV")</f>
        <v>1 SMMLV</v>
      </c>
      <c r="I52" s="8">
        <f>IFERROR(__xludf.DUMMYFUNCTION("""COMPUTED_VALUE"""),46265.0)</f>
        <v>46265</v>
      </c>
      <c r="J52" s="8">
        <f>IFERROR(__xludf.DUMMYFUNCTION("""COMPUTED_VALUE"""),46507.0)</f>
        <v>46507</v>
      </c>
      <c r="K52" s="7" t="str">
        <f>IFERROR(__xludf.DUMMYFUNCTION("""COMPUTED_VALUE"""),"analista2.rrhh@protexsa.com.co")</f>
        <v>analista2.rrhh@protexsa.com.co</v>
      </c>
      <c r="L52" s="3"/>
      <c r="M52" s="3"/>
      <c r="N52" s="3"/>
      <c r="O52" s="3"/>
      <c r="P52" s="3"/>
      <c r="Q52" s="3"/>
      <c r="R52" s="3"/>
      <c r="S52" s="3"/>
      <c r="T52" s="3"/>
      <c r="U52" s="3"/>
      <c r="V52" s="3"/>
      <c r="W52" s="3"/>
      <c r="X52" s="3"/>
      <c r="Y52" s="3"/>
    </row>
    <row r="53">
      <c r="A53" s="6" t="str">
        <f>IFERROR(__xludf.DUMMYFUNCTION("""COMPUTED_VALUE"""),"900632938")</f>
        <v>900632938</v>
      </c>
      <c r="B53" s="6" t="str">
        <f>IFERROR(__xludf.DUMMYFUNCTION("""COMPUTED_VALUE"""),"Ciclo profesional")</f>
        <v>Ciclo profesional</v>
      </c>
      <c r="C53" s="6" t="str">
        <f>IFERROR(__xludf.DUMMYFUNCTION("""COMPUTED_VALUE"""),"Tecnología en Mercadeo y Diseño Publicitario, Tecnología en Gestión Contable, Tecnología en Gestión de Procesos Industriales, Tecnología en Desarrollo Informático")</f>
        <v>Tecnología en Mercadeo y Diseño Publicitario, Tecnología en Gestión Contable, Tecnología en Gestión de Procesos Industriales, Tecnología en Desarrollo Informático</v>
      </c>
      <c r="D53" s="6" t="str">
        <f>IFERROR(__xludf.DUMMYFUNCTION("""COMPUTED_VALUE"""),"Interés real por desarrollarse en un rol de servicio y soporte a la operación.
Experiencia o exposición a procesos administrativos, operativos o de soporte.
Manejo de Excel, PowerPoint y Canva.
Capacidad para consolidar, analizar y presentar información.
"&amp;"Organización, seguimiento y gestión documental.
Autonomía, proactividad y capacidad para priorizar actividades.
Habilidades de comunicación, relacionamiento y trabajo colaborativo.
Capacidad para gestionar requerimientos con diferentes áreas y proveedores"&amp;".
Experiencia o exposición a gestión de proyectos, incluyendo proyectos académicos.
Capacidad para hacer seguimiento simultáneo a diferentes actividades y frentes de trabajo.
Disposición para desenvolverse en un entorno dinámico y con interacción transver"&amp;"sal.")</f>
        <v>Interés real por desarrollarse en un rol de servicio y soporte a la operación.
Experiencia o exposición a procesos administrativos, operativos o de soporte.
Manejo de Excel, PowerPoint y Canva.
Capacidad para consolidar, analizar y presentar información.
Organización, seguimiento y gestión documental.
Autonomía, proactividad y capacidad para priorizar actividades.
Habilidades de comunicación, relacionamiento y trabajo colaborativo.
Capacidad para gestionar requerimientos con diferentes áreas y proveedores.
Experiencia o exposición a gestión de proyectos, incluyendo proyectos académicos.
Capacidad para hacer seguimiento simultáneo a diferentes actividades y frentes de trabajo.
Disposición para desenvolverse en un entorno dinámico y con interacción transversal.</v>
      </c>
      <c r="E53" s="7" t="str">
        <f>IFERROR(__xludf.DUMMYFUNCTION("""COMPUTED_VALUE"""),"Si")</f>
        <v>Si</v>
      </c>
      <c r="F53" s="6" t="str">
        <f>IFERROR(__xludf.DUMMYFUNCTION("""COMPUTED_VALUE"""),"Bogotá (Chia, Cota, Sopó, Cajicá y alrededores)")</f>
        <v>Bogotá (Chia, Cota, Sopó, Cajicá y alrededores)</v>
      </c>
      <c r="G53" s="6" t="str">
        <f>IFERROR(__xludf.DUMMYFUNCTION("""COMPUTED_VALUE"""),"Mercadeo y Publicidad, Administración de Empresas Virtual, Ingeniería Industrial")</f>
        <v>Mercadeo y Publicidad, Administración de Empresas Virtual, Ingeniería Industrial</v>
      </c>
      <c r="H53" s="6" t="str">
        <f>IFERROR(__xludf.DUMMYFUNCTION("""COMPUTED_VALUE"""),"1 SMMLV")</f>
        <v>1 SMMLV</v>
      </c>
      <c r="I53" s="8">
        <f>IFERROR(__xludf.DUMMYFUNCTION("""COMPUTED_VALUE"""),46260.0)</f>
        <v>46260</v>
      </c>
      <c r="J53" s="8">
        <f>IFERROR(__xludf.DUMMYFUNCTION("""COMPUTED_VALUE"""),46293.0)</f>
        <v>46293</v>
      </c>
      <c r="K53" s="7" t="str">
        <f>IFERROR(__xludf.DUMMYFUNCTION("""COMPUTED_VALUE"""),"astrid.guerrero@starbucks.com.co")</f>
        <v>astrid.guerrero@starbucks.com.co</v>
      </c>
      <c r="L53" s="3"/>
      <c r="M53" s="3"/>
      <c r="N53" s="3"/>
      <c r="O53" s="3"/>
      <c r="P53" s="3"/>
      <c r="Q53" s="3"/>
      <c r="R53" s="3"/>
      <c r="S53" s="3"/>
      <c r="T53" s="3"/>
      <c r="U53" s="3"/>
      <c r="V53" s="3"/>
      <c r="W53" s="3"/>
      <c r="X53" s="3"/>
      <c r="Y53" s="3"/>
    </row>
    <row r="54">
      <c r="A54" s="6" t="str">
        <f>IFERROR(__xludf.DUMMYFUNCTION("""COMPUTED_VALUE"""),"FUNDACIÓN PLAN")</f>
        <v>FUNDACIÓN PLAN</v>
      </c>
      <c r="B54" s="6" t="str">
        <f>IFERROR(__xludf.DUMMYFUNCTION("""COMPUTED_VALUE"""),"Ciclo tecnológico")</f>
        <v>Ciclo tecnológico</v>
      </c>
      <c r="C54" s="6" t="str">
        <f>IFERROR(__xludf.DUMMYFUNCTION("""COMPUTED_VALUE"""),"Tecnología en Gestión Ambiental")</f>
        <v>Tecnología en Gestión Ambiental</v>
      </c>
      <c r="D54" s="6" t="str">
        <f>IFERROR(__xludf.DUMMYFUNCTION("""COMPUTED_VALUE"""),"Fundación PLAN es una organización comprometida con la inclusión, la igualdad, e identidad de género, la diversidad sexual y el antirracismo, por tanto, invita a todas las personas interesadas y cuyo perfil ocupacional esté acorde con la siguiente convoca"&amp;"toria a postular su hoja de vida y a ser parte de un entorno laboral respetuoso, diverso y libre de cualquier forma de discriminación.
Estamos en búsqueda de Aprendiz en etapa productiva técnica o tecnológica en Sistema de gestión de calidad y medio ambi"&amp;"ente o afines con interés de realizar su practica, y que se encuentre autorizada/o por su institución.
Funciones:
*Cumplir y aplicar el reglamento interno de trabajo así como el código de conducta, asegurando su auto entendimiento e informar cualquier i"&amp;"ncumplimiento que evidencie por parte de las personas en la organización.
*Concurrir puntualmente al lugar asignado para desarrollar su formación en la fase práctica durante el período establecido, cumpliendo con las actividades que le señale la organizac"&amp;"ión las cuales mantienen relación con su formación académica.
*Desarrollar actividades propias de nivel técnico, tecnológico o universitario acordes a la carrera que se encuentra estudiando el practicante. (Sistemas de Gestión de Calidad)
*Apoyar al área "&amp;"de Aseguramiento, calidad y control en la gestión de la documentación del SGC, auditorias internas de calidad y herramienta de hallazgos y oportunidades
*Demás funciones relacionadas al rol.
Condiciones contractuales
* Contrato de Aprendizaje bajo conve"&amp;"nio SENA
* Apoyo de sostenimiento: $ SMLV - Prestaciones Legales
* Modalidad : Presencial L-V 08:00 AM 05:00 PM
* Lugar de desarrollo de practicas: Bogotá- Zona Norte
En Fundación PLAN tenemos el compromiso en crear un entorno seguro y buscamos garantiza"&amp;"r que cualquier persona que nos represente, no lastime, abuse o cometa ningún acto de violencia contra las Niñas, Niños, Adolescentes y Jóvenes y visibilizamos el Embarazo infantil forzado -EIF- como producto del delito grave de abuso sexual en contra de "&amp;"las niñas menores de 14 años, que vulnera sus derechos e impacta negativamente sus vidas.")</f>
        <v>Fundación PLAN es una organización comprometida con la inclusión, la igualdad, e identidad de género, la diversidad sexual y el antirracismo, por tanto, invita a todas las personas interesadas y cuyo perfil ocupacional esté acorde con la siguiente convocatoria a postular su hoja de vida y a ser parte de un entorno laboral respetuoso, diverso y libre de cualquier forma de discriminación.
Estamos en búsqueda de Aprendiz en etapa productiva técnica o tecnológica en Sistema de gestión de calidad y medio ambiente o afines con interés de realizar su practica, y que se encuentre autorizada/o por su institución.
Funciones:
*Cumplir y aplicar el reglamento interno de trabajo así como el código de conducta, asegurando su auto entendimiento e informar cualquier incumplimiento que evidencie por parte de las personas en la organización.
*Concurrir puntualmente al lugar asignado para desarrollar su formación en la fase práctica durante el período establecido, cumpliendo con las actividades que le señale la organización las cuales mantienen relación con su formación académica.
*Desarrollar actividades propias de nivel técnico, tecnológico o universitario acordes a la carrera que se encuentra estudiando el practicante. (Sistemas de Gestión de Calidad)
*Apoyar al área de Aseguramiento, calidad y control en la gestión de la documentación del SGC, auditorias internas de calidad y herramienta de hallazgos y oportunidades
*Demás funciones relacionadas al rol.
Condiciones contractuales
* Contrato de Aprendizaje bajo convenio SENA
* Apoyo de sostenimiento: $ SMLV - Prestaciones Legales
* Modalidad : Presencial L-V 08:00 AM 05:00 PM
* Lugar de desarrollo de practicas: Bogotá- Zona Norte
En Fundación PLAN tenemos el compromiso en crear un entorno seguro y buscamos garantizar que cualquier persona que nos represente, no lastime, abuse o cometa ningún acto de violencia contra las Niñas, Niños, Adolescentes y Jóvenes y visibilizamos el Embarazo infantil forzado -EIF- como producto del delito grave de abuso sexual en contra de las niñas menores de 14 años, que vulnera sus derechos e impacta negativamente sus vidas.</v>
      </c>
      <c r="E54" s="7" t="str">
        <f>IFERROR(__xludf.DUMMYFUNCTION("""COMPUTED_VALUE"""),"Si")</f>
        <v>Si</v>
      </c>
      <c r="F54" s="6" t="str">
        <f>IFERROR(__xludf.DUMMYFUNCTION("""COMPUTED_VALUE"""),"Bogotá (Chia, Cota, Sopó, Cajicá y alrededores)")</f>
        <v>Bogotá (Chia, Cota, Sopó, Cajicá y alrededores)</v>
      </c>
      <c r="G54" s="6" t="str">
        <f>IFERROR(__xludf.DUMMYFUNCTION("""COMPUTED_VALUE"""),"Ingeniería Ambiental")</f>
        <v>Ingeniería Ambiental</v>
      </c>
      <c r="H54" s="6" t="str">
        <f>IFERROR(__xludf.DUMMYFUNCTION("""COMPUTED_VALUE"""),"1 SMMLV")</f>
        <v>1 SMMLV</v>
      </c>
      <c r="I54" s="8">
        <f>IFERROR(__xludf.DUMMYFUNCTION("""COMPUTED_VALUE"""),46262.0)</f>
        <v>46262</v>
      </c>
      <c r="J54" s="8">
        <f>IFERROR(__xludf.DUMMYFUNCTION("""COMPUTED_VALUE"""),46295.0)</f>
        <v>46295</v>
      </c>
      <c r="K54" s="7" t="str">
        <f>IFERROR(__xludf.DUMMYFUNCTION("""COMPUTED_VALUE"""),"COlaveRojas@plan.org.co")</f>
        <v>COlaveRojas@plan.org.co</v>
      </c>
      <c r="L54" s="3"/>
      <c r="M54" s="3"/>
      <c r="N54" s="3"/>
      <c r="O54" s="3"/>
      <c r="P54" s="3"/>
      <c r="Q54" s="3"/>
      <c r="R54" s="3"/>
      <c r="S54" s="3"/>
      <c r="T54" s="3"/>
      <c r="U54" s="3"/>
      <c r="V54" s="3"/>
      <c r="W54" s="3"/>
      <c r="X54" s="3"/>
      <c r="Y54" s="3"/>
    </row>
    <row r="55">
      <c r="A55" s="6" t="str">
        <f>IFERROR(__xludf.DUMMYFUNCTION("""COMPUTED_VALUE"""),"DIGITAL WARE")</f>
        <v>DIGITAL WARE</v>
      </c>
      <c r="B55" s="6" t="str">
        <f>IFERROR(__xludf.DUMMYFUNCTION("""COMPUTED_VALUE"""),"Ciclo tecnológico")</f>
        <v>Ciclo tecnológico</v>
      </c>
      <c r="C55" s="6" t="str">
        <f>IFERROR(__xludf.DUMMYFUNCTION("""COMPUTED_VALUE"""),"Tecnología en Gestión de Procesos Industriales")</f>
        <v>Tecnología en Gestión de Procesos Industriales</v>
      </c>
      <c r="D55" s="6" t="str">
        <f>IFERROR(__xludf.DUMMYFUNCTION("""COMPUTED_VALUE"""),"CONVIERTE TU FORMACIÓN EN EXPERIENCIA
Practicante Administrativo | Digital Ware S.A.S.
¿Estás habilitado(a) para iniciar tus prácticas y quieres dar el siguiente paso en tu formación, adquiriendo experiencia en un entorno laboral real?
En Digital Ware S."&amp;"A.S. buscamos un Practicante Administrativo para brindar apoyo en los procesos administrativos de formación, participando en la organización, seguimiento y gestión de las diferentes actividades de capacitación y desarrollo.
Funciones principales
Apoyar la"&amp;" programación, organización y seguimiento de cursos, capacitaciones y talleres.
Brindar apoyo en la gestión logística de actividades presenciales y virtuales, participantes, espacios, horarios y recursos.
Gestionar inscripciones, usuarios y actualización "&amp;"de cursos y contenidos en las plataformas de formación.
Registrar y mantener actualizada la información en bases de datos, archivos y herramientas corporativas.
Consolidar información y elaborar reportes e informes de seguimiento.
Requisitos
Estudiante en"&amp;" etapa de práctica de programas técnicos, tecnológicos en Administración de Empresas, Gestión Administrativa, Gestión Empresarial, Procesos Administrativos, Ingeniería Industrial o carreras afines.
Manejo intermedio de Excel.
Manejo de herramientas Micros"&amp;"oft 365 (Outlook, Teams, SharePoint y OneDrive).
Conocimientos básicos en elaboración de informes y manejo de bases de datos.
Deseable conocimiento en Moodle u otras plataformas LMS.
¿Qué ofrecemos?
Contrato de aprendizaje a 6 meses o 1 año con:
Remunerac"&amp;"ión de SMMLV.
Todas las prestaciones de ley.
Tu etapa de formación puede ser el inicio de grandes oportunidades.
Si quieres llevar tus conocimientos del aula a escenarios reales y comenzar a construir tu experiencia profesional en una compañía de tecnolog"&amp;"ía, queremos conocerte.
Postúlate y comienza tu experiencia profesional con Digital Ware S.A.S.")</f>
        <v>CONVIERTE TU FORMACIÓN EN EXPERIENCIA
Practicante Administrativo | Digital Ware S.A.S.
¿Estás habilitado(a) para iniciar tus prácticas y quieres dar el siguiente paso en tu formación, adquiriendo experiencia en un entorno laboral real?
En Digital Ware S.A.S. buscamos un Practicante Administrativo para brindar apoyo en los procesos administrativos de formación, participando en la organización, seguimiento y gestión de las diferentes actividades de capacitación y desarrollo.
Funciones principales
Apoyar la programación, organización y seguimiento de cursos, capacitaciones y talleres.
Brindar apoyo en la gestión logística de actividades presenciales y virtuales, participantes, espacios, horarios y recursos.
Gestionar inscripciones, usuarios y actualización de cursos y contenidos en las plataformas de formación.
Registrar y mantener actualizada la información en bases de datos, archivos y herramientas corporativas.
Consolidar información y elaborar reportes e informes de seguimiento.
Requisitos
Estudiante en etapa de práctica de programas técnicos, tecnológicos en Administración de Empresas, Gestión Administrativa, Gestión Empresarial, Procesos Administrativos, Ingeniería Industrial o carreras afines.
Manejo intermedio de Excel.
Manejo de herramientas Microsoft 365 (Outlook, Teams, SharePoint y OneDrive).
Conocimientos básicos en elaboración de informes y manejo de bases de datos.
Deseable conocimiento en Moodle u otras plataformas LMS.
¿Qué ofrecemos?
Contrato de aprendizaje a 6 meses o 1 año con:
Remuneración de SMMLV.
Todas las prestaciones de ley.
Tu etapa de formación puede ser el inicio de grandes oportunidades.
Si quieres llevar tus conocimientos del aula a escenarios reales y comenzar a construir tu experiencia profesional en una compañía de tecnología, queremos conocerte.
Postúlate y comienza tu experiencia profesional con Digital Ware S.A.S.</v>
      </c>
      <c r="E55" s="7" t="str">
        <f>IFERROR(__xludf.DUMMYFUNCTION("""COMPUTED_VALUE"""),"Si")</f>
        <v>Si</v>
      </c>
      <c r="F55" s="6" t="str">
        <f>IFERROR(__xludf.DUMMYFUNCTION("""COMPUTED_VALUE"""),"Bogotá (Chia, Cota, Sopó, Cajicá y alrededores)")</f>
        <v>Bogotá (Chia, Cota, Sopó, Cajicá y alrededores)</v>
      </c>
      <c r="G55" s="6" t="str">
        <f>IFERROR(__xludf.DUMMYFUNCTION("""COMPUTED_VALUE"""),"Administración de Empresas Virtual")</f>
        <v>Administración de Empresas Virtual</v>
      </c>
      <c r="H55" s="6" t="str">
        <f>IFERROR(__xludf.DUMMYFUNCTION("""COMPUTED_VALUE"""),"1 SMMLV")</f>
        <v>1 SMMLV</v>
      </c>
      <c r="I55" s="8">
        <f>IFERROR(__xludf.DUMMYFUNCTION("""COMPUTED_VALUE"""),46262.0)</f>
        <v>46262</v>
      </c>
      <c r="J55" s="8">
        <f>IFERROR(__xludf.DUMMYFUNCTION("""COMPUTED_VALUE"""),46295.0)</f>
        <v>46295</v>
      </c>
      <c r="K55" s="7" t="str">
        <f>IFERROR(__xludf.DUMMYFUNCTION("""COMPUTED_VALUE"""),"PaulaDT@DigitalWare.com.co")</f>
        <v>PaulaDT@DigitalWare.com.co</v>
      </c>
      <c r="L55" s="3"/>
      <c r="M55" s="3"/>
      <c r="N55" s="3"/>
      <c r="O55" s="3"/>
      <c r="P55" s="3"/>
      <c r="Q55" s="3"/>
      <c r="R55" s="3"/>
      <c r="S55" s="3"/>
      <c r="T55" s="3"/>
      <c r="U55" s="3"/>
      <c r="V55" s="3"/>
      <c r="W55" s="3"/>
      <c r="X55" s="3"/>
      <c r="Y55" s="3"/>
    </row>
    <row r="56">
      <c r="A56" s="6" t="str">
        <f>IFERROR(__xludf.DUMMYFUNCTION("""COMPUTED_VALUE"""),"YAS SUMINISTROS INDUSTRIALES S.A.S ")</f>
        <v>YAS SUMINISTROS INDUSTRIALES S.A.S </v>
      </c>
      <c r="B56" s="6" t="str">
        <f>IFERROR(__xludf.DUMMYFUNCTION("""COMPUTED_VALUE"""),"Ciclo tecnológico")</f>
        <v>Ciclo tecnológico</v>
      </c>
      <c r="C56" s="6" t="str">
        <f>IFERROR(__xludf.DUMMYFUNCTION("""COMPUTED_VALUE"""),"Tecnología en Mecánica Industrial")</f>
        <v>Tecnología en Mecánica Industrial</v>
      </c>
      <c r="D56" s="6" t="str">
        <f>IFERROR(__xludf.DUMMYFUNCTION("""COMPUTED_VALUE"""),"Desde YAS Suministros Industriales estamos interesados en vincular personal con formación técnica o tecnológica en el área de mecánica industrial.
Apoyo en procesos de mecanizado y fabricación de piezas.
Manejo y aprendizaje de torno convencional y torno"&amp;" CNC.
Apoyo en operación de máquinas y herramientas.
Interpretación básica de planos mecánicos.
Medición y verificación de piezas mediante instrumentos de precisión.
Apoyo en mantenimiento preventivo y correctivo de maquinaria.
Organización y control de h"&amp;"erramientas y elementos de trabajo.
Cumplimiento de normas de seguridad industrial.
Buscamos personas responsables, comprometidas y con interés en desarrollar sus conocimientos y experiencia en el sector industrial.
Perfiles requeridos:
Estudiantes de"&amp;" mecanica industrial 
Formación técnica o tecnológica en Mecánica Industrial o áreas relacionadas.
Deseable experiencia en manejo de diseño , torno convencional y/o máquinas CNC.
Agradecemos su colaboración en la divulgación de esta oportunidad entre sus"&amp;" estudiantes, egresados o personas que puedan estar interesadas.
Quedamos atentos para ampliar la información sobre la oferta y recibir las hojas de vida de los candidatos.")</f>
        <v>Desde YAS Suministros Industriales estamos interesados en vincular personal con formación técnica o tecnológica en el área de mecánica industrial.
Apoyo en procesos de mecanizado y fabricación de piezas.
Manejo y aprendizaje de torno convencional y torno CNC.
Apoyo en operación de máquinas y herramientas.
Interpretación básica de planos mecánicos.
Medición y verificación de piezas mediante instrumentos de precisión.
Apoyo en mantenimiento preventivo y correctivo de maquinaria.
Organización y control de herramientas y elementos de trabajo.
Cumplimiento de normas de seguridad industrial.
Buscamos personas responsables, comprometidas y con interés en desarrollar sus conocimientos y experiencia en el sector industrial.
Perfiles requeridos:
Estudiantes de mecanica industrial 
Formación técnica o tecnológica en Mecánica Industrial o áreas relacionadas.
Deseable experiencia en manejo de diseño , torno convencional y/o máquinas CNC.
Agradecemos su colaboración en la divulgación de esta oportunidad entre sus estudiantes, egresados o personas que puedan estar interesadas.
Quedamos atentos para ampliar la información sobre la oferta y recibir las hojas de vida de los candidatos.</v>
      </c>
      <c r="E56" s="7" t="str">
        <f>IFERROR(__xludf.DUMMYFUNCTION("""COMPUTED_VALUE"""),"No")</f>
        <v>No</v>
      </c>
      <c r="F56" s="6" t="str">
        <f>IFERROR(__xludf.DUMMYFUNCTION("""COMPUTED_VALUE"""),"Bogotá (Chia, Cota, Sopó, Cajicá y alrededores)")</f>
        <v>Bogotá (Chia, Cota, Sopó, Cajicá y alrededores)</v>
      </c>
      <c r="G56" s="6" t="str">
        <f>IFERROR(__xludf.DUMMYFUNCTION("""COMPUTED_VALUE"""),"Ingeniería Mecánica")</f>
        <v>Ingeniería Mecánica</v>
      </c>
      <c r="H56" s="6" t="str">
        <f>IFERROR(__xludf.DUMMYFUNCTION("""COMPUTED_VALUE"""),"De 1 SMMLV a 2 SMMLV")</f>
        <v>De 1 SMMLV a 2 SMMLV</v>
      </c>
      <c r="I56" s="8">
        <f>IFERROR(__xludf.DUMMYFUNCTION("""COMPUTED_VALUE"""),46266.0)</f>
        <v>46266</v>
      </c>
      <c r="J56" s="8">
        <f>IFERROR(__xludf.DUMMYFUNCTION("""COMPUTED_VALUE"""),46295.0)</f>
        <v>46295</v>
      </c>
      <c r="K56" s="7" t="str">
        <f>IFERROR(__xludf.DUMMYFUNCTION("""COMPUTED_VALUE"""),"info@yassuministrosindustriales.com")</f>
        <v>info@yassuministrosindustriales.com</v>
      </c>
      <c r="L56" s="3"/>
      <c r="M56" s="3"/>
      <c r="N56" s="3"/>
      <c r="O56" s="3"/>
      <c r="P56" s="3"/>
      <c r="Q56" s="3"/>
      <c r="R56" s="3"/>
      <c r="S56" s="3"/>
      <c r="T56" s="3"/>
      <c r="U56" s="3"/>
      <c r="V56" s="3"/>
      <c r="W56" s="3"/>
      <c r="X56" s="3"/>
      <c r="Y56" s="3"/>
    </row>
    <row r="57">
      <c r="A57" s="6" t="str">
        <f>IFERROR(__xludf.DUMMYFUNCTION("""COMPUTED_VALUE"""),"ADRIANA LIZETH CONDE LUNA")</f>
        <v>ADRIANA LIZETH CONDE LUNA</v>
      </c>
      <c r="B57" s="6" t="str">
        <f>IFERROR(__xludf.DUMMYFUNCTION("""COMPUTED_VALUE"""),"Ciclo tecnológico")</f>
        <v>Ciclo tecnológico</v>
      </c>
      <c r="C57" s="6" t="str">
        <f>IFERROR(__xludf.DUMMYFUNCTION("""COMPUTED_VALUE"""),"Tecnología en Gestión Contable, Tecnología en Gestión de Procesos Industriales, Tecnología en Gestión Ambiental")</f>
        <v>Tecnología en Gestión Contable, Tecnología en Gestión de Procesos Industriales, Tecnología en Gestión Ambiental</v>
      </c>
      <c r="D57" s="6" t="str">
        <f>IFERROR(__xludf.DUMMYFUNCTION("""COMPUTED_VALUE"""),"SAMSA ES UNA EMPRESA DE TRANPORTE POR CARRETERA, GESTOR DE RESIDUOS PELIGROSOS ")</f>
        <v>SAMSA ES UNA EMPRESA DE TRANPORTE POR CARRETERA, GESTOR DE RESIDUOS PELIGROSOS </v>
      </c>
      <c r="E57" s="7" t="str">
        <f>IFERROR(__xludf.DUMMYFUNCTION("""COMPUTED_VALUE"""),"No")</f>
        <v>No</v>
      </c>
      <c r="F57" s="6" t="str">
        <f>IFERROR(__xludf.DUMMYFUNCTION("""COMPUTED_VALUE"""),"Bogotá (Chia, Cota, Sopó, Cajicá y alrededores)")</f>
        <v>Bogotá (Chia, Cota, Sopó, Cajicá y alrededores)</v>
      </c>
      <c r="G57" s="6" t="str">
        <f>IFERROR(__xludf.DUMMYFUNCTION("""COMPUTED_VALUE"""),"Ingeniería Ambiental")</f>
        <v>Ingeniería Ambiental</v>
      </c>
      <c r="H57" s="6" t="str">
        <f>IFERROR(__xludf.DUMMYFUNCTION("""COMPUTED_VALUE"""),"1 SMMLV")</f>
        <v>1 SMMLV</v>
      </c>
      <c r="I57" s="8">
        <f>IFERROR(__xludf.DUMMYFUNCTION("""COMPUTED_VALUE"""),46265.0)</f>
        <v>46265</v>
      </c>
      <c r="J57" s="8">
        <f>IFERROR(__xludf.DUMMYFUNCTION("""COMPUTED_VALUE"""),46295.0)</f>
        <v>46295</v>
      </c>
      <c r="K57" s="7" t="str">
        <f>IFERROR(__xludf.DUMMYFUNCTION("""COMPUTED_VALUE"""),"lizeth.conde@samsa.co")</f>
        <v>lizeth.conde@samsa.co</v>
      </c>
      <c r="L57" s="3"/>
      <c r="M57" s="3"/>
      <c r="N57" s="3"/>
      <c r="O57" s="3"/>
      <c r="P57" s="3"/>
      <c r="Q57" s="3"/>
      <c r="R57" s="3"/>
      <c r="S57" s="3"/>
      <c r="T57" s="3"/>
      <c r="U57" s="3"/>
      <c r="V57" s="3"/>
      <c r="W57" s="3"/>
      <c r="X57" s="3"/>
      <c r="Y57" s="3"/>
    </row>
    <row r="58">
      <c r="A58" s="6" t="str">
        <f>IFERROR(__xludf.DUMMYFUNCTION("""COMPUTED_VALUE"""),"ACT TELEMATICA S.A.S")</f>
        <v>ACT TELEMATICA S.A.S</v>
      </c>
      <c r="B58" s="6" t="str">
        <f>IFERROR(__xludf.DUMMYFUNCTION("""COMPUTED_VALUE"""),"Ciclo tecnológico, Ciclo profesional")</f>
        <v>Ciclo tecnológico, Ciclo profesional</v>
      </c>
      <c r="C58" s="6" t="str">
        <f>IFERROR(__xludf.DUMMYFUNCTION("""COMPUTED_VALUE"""),"Tecnología en Soporte de Telecomunicaciones, Tecnología en Gestión Ambiental")</f>
        <v>Tecnología en Soporte de Telecomunicaciones, Tecnología en Gestión Ambiental</v>
      </c>
      <c r="D58" s="6" t="str">
        <f>IFERROR(__xludf.DUMMYFUNCTION("""COMPUTED_VALUE"""),"Empresa de Telecomunicaciones, requiere practicantes para el área de Telecomunicaciones o carreras afines o carreras administrativas, puede aplicar personal con discapacidad. ")</f>
        <v>Empresa de Telecomunicaciones, requiere practicantes para el área de Telecomunicaciones o carreras afines o carreras administrativas, puede aplicar personal con discapacidad. </v>
      </c>
      <c r="E58" s="7" t="str">
        <f>IFERROR(__xludf.DUMMYFUNCTION("""COMPUTED_VALUE"""),"Si")</f>
        <v>Si</v>
      </c>
      <c r="F58" s="6" t="str">
        <f>IFERROR(__xludf.DUMMYFUNCTION("""COMPUTED_VALUE"""),"Bogotá (Chia, Cota, Sopó, Cajicá y alrededores)")</f>
        <v>Bogotá (Chia, Cota, Sopó, Cajicá y alrededores)</v>
      </c>
      <c r="G58" s="6" t="str">
        <f>IFERROR(__xludf.DUMMYFUNCTION("""COMPUTED_VALUE"""),"Administración de Empresas Virtual, Ingeniería Industrial, Ingeniería de Sistemas")</f>
        <v>Administración de Empresas Virtual, Ingeniería Industrial, Ingeniería de Sistemas</v>
      </c>
      <c r="H58" s="6" t="str">
        <f>IFERROR(__xludf.DUMMYFUNCTION("""COMPUTED_VALUE"""),"1 SMMLV")</f>
        <v>1 SMMLV</v>
      </c>
      <c r="I58" s="8">
        <f>IFERROR(__xludf.DUMMYFUNCTION("""COMPUTED_VALUE"""),46265.0)</f>
        <v>46265</v>
      </c>
      <c r="J58" s="8">
        <f>IFERROR(__xludf.DUMMYFUNCTION("""COMPUTED_VALUE"""),46387.0)</f>
        <v>46387</v>
      </c>
      <c r="K58" s="7" t="str">
        <f>IFERROR(__xludf.DUMMYFUNCTION("""COMPUTED_VALUE"""),"laura.cristiano@acttelematica.com.co")</f>
        <v>laura.cristiano@acttelematica.com.co</v>
      </c>
      <c r="L58" s="3"/>
      <c r="M58" s="3"/>
      <c r="N58" s="3"/>
      <c r="O58" s="3"/>
      <c r="P58" s="3"/>
      <c r="Q58" s="3"/>
      <c r="R58" s="3"/>
      <c r="S58" s="3"/>
      <c r="T58" s="3"/>
      <c r="U58" s="3"/>
      <c r="V58" s="3"/>
      <c r="W58" s="3"/>
      <c r="X58" s="3"/>
      <c r="Y58" s="3"/>
    </row>
    <row r="59">
      <c r="A59" s="6" t="str">
        <f>IFERROR(__xludf.DUMMYFUNCTION("""COMPUTED_VALUE"""),"PRODUCTORA DE ALAMBRES COLOMBIANOS PROALCO SAS")</f>
        <v>PRODUCTORA DE ALAMBRES COLOMBIANOS PROALCO SAS</v>
      </c>
      <c r="B59" s="6" t="str">
        <f>IFERROR(__xludf.DUMMYFUNCTION("""COMPUTED_VALUE"""),"Ciclo tecnológico")</f>
        <v>Ciclo tecnológico</v>
      </c>
      <c r="C59" s="6" t="str">
        <f>IFERROR(__xludf.DUMMYFUNCTION("""COMPUTED_VALUE"""),"Tecnología en Gestión de Comercio Exterior")</f>
        <v>Tecnología en Gestión de Comercio Exterior</v>
      </c>
      <c r="D59" s="6" t="str">
        <f>IFERROR(__xludf.DUMMYFUNCTION("""COMPUTED_VALUE"""),"Buscamos estudiante en etapa práctica con interés en desarrollar su experiencia en las áreas de Compras y Comercio Exterior, apoyando procesos administrativos, gestión de proveedores y operaciones de comercio internacional.
Principales responsabilidades
"&amp;"
Área de Compras
Brindar apoyo en el diligenciamiento de formularios y documentación requerida por los proveedores.
Gestionar la solicitud de documentación interna necesaria para los procesos de actualización y vinculación como clientes ante proveedores,"&amp;" incluyendo RUT, Certificado de Cámara de Comercio, estados financieros y certificaciones bancarias.
Mantener actualizada la base de datos de proveedores.
Solicitar y gestionar referencias comerciales de proveedores, garantizando la actualización permanen"&amp;"te de la información.
Coordinar las solicitudes de actualización de información bancaria de los proveedores.
Crear y gestionar tickets para la actualización de datos bancarios y direcciones de correo electrónico en SAP.
Brindar apoyo en la creación, modif"&amp;"icación y seguimiento de órdenes de compra (OC) en SAP y eBuy.
Generar, consolidar y cargar indicadores de gestión en la plataforma ISOLUCIÓN.
Área de Comercio Exterior
Gestionar la generación y emisión de guías para las operaciones de comercio exterior"&amp;".
Realizar seguimiento a los procesos de importación y exportación, asegurando el cumplimiento de los tiempos establecidos.
Solicitar y analizar cotizaciones de fletes marítimos para las diferentes rutas requeridas por la compañía.
Elaborar y presentar re"&amp;"portes de facturación de fletes.
Brindar apoyo en la gestión de provisiones mensuales relacionadas con las operaciones de comercio exterior.
Coordinar el envío de prealertas correspondientes a los procesos de importación y exportación.
Apoyar la reserva s"&amp;"emanal de contenedores de acuerdo con las necesidades operativas y logísticas de la organización.
Perfil requerido
Estudiante propositivo, responsable y autónomo, con alta capacidad de aprendizaje y adaptación, buenas habilidades de comunicación y dispos"&amp;"ición para trabajar en equipo.
Buscamos una persona con:
Capacidad de aprendizaje rápido.
Buenas habilidades de comunicación.
Adaptabilidad y proactividad.
Capacidad de colaboración y trabajo en equipo.
Organización y responsabilidad.
Autonomía para des"&amp;"arrollar sus actividades.
Condiciones de la práctica
Apoyo de sostenimiento: 100% del Salario Mínimo Legal Vigente + EPS + ARL.
Beneficios:
Almuerzo subsidiado.
Servicio de ruta.
Horario:
Lunes a jueves: 6:30 a. m. a 4:00 p. m.
Viernes: 6:30 a. m. a "&amp;"2:00 p. m.
 Lugar de práctica:
Autopista Sur Km 25, vía Soacha – Sibaté.")</f>
        <v>Buscamos estudiante en etapa práctica con interés en desarrollar su experiencia en las áreas de Compras y Comercio Exterior, apoyando procesos administrativos, gestión de proveedores y operaciones de comercio internacional.
Principales responsabilidades
Área de Compras
Brindar apoyo en el diligenciamiento de formularios y documentación requerida por los proveedores.
Gestionar la solicitud de documentación interna necesaria para los procesos de actualización y vinculación como clientes ante proveedores, incluyendo RUT, Certificado de Cámara de Comercio, estados financieros y certificaciones bancarias.
Mantener actualizada la base de datos de proveedores.
Solicitar y gestionar referencias comerciales de proveedores, garantizando la actualización permanente de la información.
Coordinar las solicitudes de actualización de información bancaria de los proveedores.
Crear y gestionar tickets para la actualización de datos bancarios y direcciones de correo electrónico en SAP.
Brindar apoyo en la creación, modificación y seguimiento de órdenes de compra (OC) en SAP y eBuy.
Generar, consolidar y cargar indicadores de gestión en la plataforma ISOLUCIÓN.
Área de Comercio Exterior
Gestionar la generación y emisión de guías para las operaciones de comercio exterior.
Realizar seguimiento a los procesos de importación y exportación, asegurando el cumplimiento de los tiempos establecidos.
Solicitar y analizar cotizaciones de fletes marítimos para las diferentes rutas requeridas por la compañía.
Elaborar y presentar reportes de facturación de fletes.
Brindar apoyo en la gestión de provisiones mensuales relacionadas con las operaciones de comercio exterior.
Coordinar el envío de prealertas correspondientes a los procesos de importación y exportación.
Apoyar la reserva semanal de contenedores de acuerdo con las necesidades operativas y logísticas de la organización.
Perfil requerido
Estudiante propositivo, responsable y autónomo, con alta capacidad de aprendizaje y adaptación, buenas habilidades de comunicación y disposición para trabajar en equipo.
Buscamos una persona con:
Capacidad de aprendizaje rápido.
Buenas habilidades de comunicación.
Adaptabilidad y proactividad.
Capacidad de colaboración y trabajo en equipo.
Organización y responsabilidad.
Autonomía para desarrollar sus actividades.
Condiciones de la práctica
Apoyo de sostenimiento: 100% del Salario Mínimo Legal Vigente + EPS + ARL.
Beneficios:
Almuerzo subsidiado.
Servicio de ruta.
Horario:
Lunes a jueves: 6:30 a. m. a 4:00 p. m.
Viernes: 6:30 a. m. a 2:00 p. m.
 Lugar de práctica:
Autopista Sur Km 25, vía Soacha – Sibaté.</v>
      </c>
      <c r="E59" s="7" t="str">
        <f>IFERROR(__xludf.DUMMYFUNCTION("""COMPUTED_VALUE"""),"No")</f>
        <v>No</v>
      </c>
      <c r="F59" s="6" t="str">
        <f>IFERROR(__xludf.DUMMYFUNCTION("""COMPUTED_VALUE"""),"Bogotá (Chia, Cota, Sopó, Cajicá y alrededores)")</f>
        <v>Bogotá (Chia, Cota, Sopó, Cajicá y alrededores)</v>
      </c>
      <c r="G59" s="6" t="str">
        <f>IFERROR(__xludf.DUMMYFUNCTION("""COMPUTED_VALUE"""),"Comercio Internacional")</f>
        <v>Comercio Internacional</v>
      </c>
      <c r="H59" s="6" t="str">
        <f>IFERROR(__xludf.DUMMYFUNCTION("""COMPUTED_VALUE"""),"1 SMMLV")</f>
        <v>1 SMMLV</v>
      </c>
      <c r="I59" s="8">
        <f>IFERROR(__xludf.DUMMYFUNCTION("""COMPUTED_VALUE"""),46265.0)</f>
        <v>46265</v>
      </c>
      <c r="J59" s="8">
        <f>IFERROR(__xludf.DUMMYFUNCTION("""COMPUTED_VALUE"""),46295.0)</f>
        <v>46295</v>
      </c>
      <c r="K59" s="7" t="str">
        <f>IFERROR(__xludf.DUMMYFUNCTION("""COMPUTED_VALUE"""),"paula.velasquez@bekaert.com")</f>
        <v>paula.velasquez@bekaert.com</v>
      </c>
      <c r="L59" s="3"/>
      <c r="M59" s="3"/>
      <c r="N59" s="3"/>
      <c r="O59" s="3"/>
      <c r="P59" s="3"/>
      <c r="Q59" s="3"/>
      <c r="R59" s="3"/>
      <c r="S59" s="3"/>
      <c r="T59" s="3"/>
      <c r="U59" s="3"/>
      <c r="V59" s="3"/>
      <c r="W59" s="3"/>
      <c r="X59" s="3"/>
      <c r="Y59" s="3"/>
    </row>
    <row r="60">
      <c r="A60" s="6" t="str">
        <f>IFERROR(__xludf.DUMMYFUNCTION("""COMPUTED_VALUE"""),"MINIPAK SAS")</f>
        <v>MINIPAK SAS</v>
      </c>
      <c r="B60" s="6" t="str">
        <f>IFERROR(__xludf.DUMMYFUNCTION("""COMPUTED_VALUE"""),"Ciclo tecnológico, Ciclo profesional")</f>
        <v>Ciclo tecnológico, Ciclo profesional</v>
      </c>
      <c r="C60" s="6" t="str">
        <f>IFERROR(__xludf.DUMMYFUNCTION("""COMPUTED_VALUE"""),"Tecnología en Gestión de Comercio Exterior, Tecnología en Procesos Químicos Industriales, Tecnología en Mecánica Industrial, Tecnología en Mecánica Automotriz")</f>
        <v>Tecnología en Gestión de Comercio Exterior, Tecnología en Procesos Químicos Industriales, Tecnología en Mecánica Industrial, Tecnología en Mecánica Automotriz</v>
      </c>
      <c r="D60" s="6" t="str">
        <f>IFERROR(__xludf.DUMMYFUNCTION("""COMPUTED_VALUE"""),"⚙️ ¡ESTAMOS EN BÚSQUEDA DE TALENTO! 📢 ✨
🧪 APRENDIZ DE CALIDAD 🔬 🥼
👷‍♂️¡En Minipak estamos en la búsqueda de un Aprendiz de Calidad apasionado, enfocado y con muchas ganas de aprender para unirse a nuestro equipo! 🚀 
📋 ¿Qué buscamos?
-Formación:"&amp;" Estudiante activo de Tecnología en Procesos Químicos Industriales 🎓 (listo para iniciar su etapa práctica).
-Competencias: Atención al detalle, disciplina, excelente seguimiento de instrucciones y orientación a resultados 🎯 ✨.
-Modalidad: Presencial / "&amp;"Horario de oficina 🏢 ⏰.
💼 ¿Qué tenemos para ti?
-Práctica profesional: Enfocada en fortalecer tus competencias y habilidades académicas 📈 💡.
-Contrato: Aprendizaje por 6 a 12 meses 📝.
-Apoyo económico: 1 SMMVL + Prestaciones de Ley 💰 ⚖️.
-Refriger"&amp;"io Diario🌟.
👉 ¿Te interesa o conoces a alguien? 
Envía tu hoja de vida a: psicologo@minipak.co")</f>
        <v>⚙️ ¡ESTAMOS EN BÚSQUEDA DE TALENTO! 📢 ✨
🧪 APRENDIZ DE CALIDAD 🔬 🥼
👷‍♂️¡En Minipak estamos en la búsqueda de un Aprendiz de Calidad apasionado, enfocado y con muchas ganas de aprender para unirse a nuestro equipo! 🚀 
📋 ¿Qué buscamos?
-Formación: Estudiante activo de Tecnología en Procesos Químicos Industriales 🎓 (listo para iniciar su etapa práctica).
-Competencias: Atención al detalle, disciplina, excelente seguimiento de instrucciones y orientación a resultados 🎯 ✨.
-Modalidad: Presencial / Horario de oficina 🏢 ⏰.
💼 ¿Qué tenemos para ti?
-Práctica profesional: Enfocada en fortalecer tus competencias y habilidades académicas 📈 💡.
-Contrato: Aprendizaje por 6 a 12 meses 📝.
-Apoyo económico: 1 SMMVL + Prestaciones de Ley 💰 ⚖️.
-Refrigerio Diario🌟.
👉 ¿Te interesa o conoces a alguien? 
Envía tu hoja de vida a: psicologo@minipak.co</v>
      </c>
      <c r="E60" s="7" t="str">
        <f>IFERROR(__xludf.DUMMYFUNCTION("""COMPUTED_VALUE"""),"Si")</f>
        <v>Si</v>
      </c>
      <c r="F60" s="6" t="str">
        <f>IFERROR(__xludf.DUMMYFUNCTION("""COMPUTED_VALUE"""),"Bogotá (Chia, Cota, Sopó, Cajicá y alrededores)")</f>
        <v>Bogotá (Chia, Cota, Sopó, Cajicá y alrededores)</v>
      </c>
      <c r="G60" s="6" t="str">
        <f>IFERROR(__xludf.DUMMYFUNCTION("""COMPUTED_VALUE"""),"Contaduría Pública, Comercio Internacional, Ingeniería Química, Ingeniería Mecatrónica, Ingeniería Mecánica, Ingeniería Industrial, Ingeniería de Sistemas")</f>
        <v>Contaduría Pública, Comercio Internacional, Ingeniería Química, Ingeniería Mecatrónica, Ingeniería Mecánica, Ingeniería Industrial, Ingeniería de Sistemas</v>
      </c>
      <c r="H60" s="6" t="str">
        <f>IFERROR(__xludf.DUMMYFUNCTION("""COMPUTED_VALUE"""),"1 SMMLV")</f>
        <v>1 SMMLV</v>
      </c>
      <c r="I60" s="8">
        <f>IFERROR(__xludf.DUMMYFUNCTION("""COMPUTED_VALUE"""),46266.0)</f>
        <v>46266</v>
      </c>
      <c r="J60" s="8">
        <f>IFERROR(__xludf.DUMMYFUNCTION("""COMPUTED_VALUE"""),46325.0)</f>
        <v>46325</v>
      </c>
      <c r="K60" s="7" t="str">
        <f>IFERROR(__xludf.DUMMYFUNCTION("""COMPUTED_VALUE"""),"psicologo@minipak.co")</f>
        <v>psicologo@minipak.co</v>
      </c>
      <c r="L60" s="3"/>
      <c r="M60" s="3"/>
      <c r="N60" s="3"/>
      <c r="O60" s="3"/>
      <c r="P60" s="3"/>
      <c r="Q60" s="3"/>
      <c r="R60" s="3"/>
      <c r="S60" s="3"/>
      <c r="T60" s="3"/>
      <c r="U60" s="3"/>
      <c r="V60" s="3"/>
      <c r="W60" s="3"/>
      <c r="X60" s="3"/>
      <c r="Y60" s="3"/>
    </row>
    <row r="61">
      <c r="A61" s="6" t="str">
        <f>IFERROR(__xludf.DUMMYFUNCTION("""COMPUTED_VALUE"""),"DDB WORLDWIDE COLOMBIA")</f>
        <v>DDB WORLDWIDE COLOMBIA</v>
      </c>
      <c r="B61" s="6" t="str">
        <f>IFERROR(__xludf.DUMMYFUNCTION("""COMPUTED_VALUE"""),"Ciclo tecnológico")</f>
        <v>Ciclo tecnológico</v>
      </c>
      <c r="C61" s="6" t="str">
        <f>IFERROR(__xludf.DUMMYFUNCTION("""COMPUTED_VALUE"""),"Tecnología en Mercadeo y Diseño Publicitario")</f>
        <v>Tecnología en Mercadeo y Diseño Publicitario</v>
      </c>
      <c r="D61" s="6" t="str">
        <f>IFERROR(__xludf.DUMMYFUNCTION("""COMPUTED_VALUE"""),"Empresa de publicidad solicita un practicante en Marketing para apoyar en el diseño de materiales visuales, y videos adaptados al lenguaje de cada marca. gestionar interacción con los usuarios de canales digitales y plataformas. ")</f>
        <v>Empresa de publicidad solicita un practicante en Marketing para apoyar en el diseño de materiales visuales, y videos adaptados al lenguaje de cada marca. gestionar interacción con los usuarios de canales digitales y plataformas. </v>
      </c>
      <c r="E61" s="7" t="str">
        <f>IFERROR(__xludf.DUMMYFUNCTION("""COMPUTED_VALUE"""),"Si")</f>
        <v>Si</v>
      </c>
      <c r="F61" s="6" t="str">
        <f>IFERROR(__xludf.DUMMYFUNCTION("""COMPUTED_VALUE"""),"Bogotá (Chia, Cota, Sopó, Cajicá y alrededores)")</f>
        <v>Bogotá (Chia, Cota, Sopó, Cajicá y alrededores)</v>
      </c>
      <c r="G61" s="6" t="str">
        <f>IFERROR(__xludf.DUMMYFUNCTION("""COMPUTED_VALUE"""),"Mercadeo y Publicidad")</f>
        <v>Mercadeo y Publicidad</v>
      </c>
      <c r="H61" s="6" t="str">
        <f>IFERROR(__xludf.DUMMYFUNCTION("""COMPUTED_VALUE"""),"1 SMMLV")</f>
        <v>1 SMMLV</v>
      </c>
      <c r="I61" s="8">
        <f>IFERROR(__xludf.DUMMYFUNCTION("""COMPUTED_VALUE"""),46266.0)</f>
        <v>46266</v>
      </c>
      <c r="J61" s="8">
        <f>IFERROR(__xludf.DUMMYFUNCTION("""COMPUTED_VALUE"""),46295.0)</f>
        <v>46295</v>
      </c>
      <c r="K61" s="7" t="str">
        <f>IFERROR(__xludf.DUMMYFUNCTION("""COMPUTED_VALUE"""),"yesica.garcia@omc.com")</f>
        <v>yesica.garcia@omc.com</v>
      </c>
      <c r="L61" s="3"/>
      <c r="M61" s="3"/>
      <c r="N61" s="3"/>
      <c r="O61" s="3"/>
      <c r="P61" s="3"/>
      <c r="Q61" s="3"/>
      <c r="R61" s="3"/>
      <c r="S61" s="3"/>
      <c r="T61" s="3"/>
      <c r="U61" s="3"/>
      <c r="V61" s="3"/>
      <c r="W61" s="3"/>
      <c r="X61" s="3"/>
      <c r="Y61" s="3"/>
    </row>
    <row r="62">
      <c r="A62" s="6" t="str">
        <f>IFERROR(__xludf.DUMMYFUNCTION("""COMPUTED_VALUE"""),"FUNDACION SOCIAL EL ENCUENTRO")</f>
        <v>FUNDACION SOCIAL EL ENCUENTRO</v>
      </c>
      <c r="B62" s="6" t="str">
        <f>IFERROR(__xludf.DUMMYFUNCTION("""COMPUTED_VALUE"""),"Ciclo tecnológico, Ciclo profesional")</f>
        <v>Ciclo tecnológico, Ciclo profesional</v>
      </c>
      <c r="C62" s="6" t="str">
        <f>IFERROR(__xludf.DUMMYFUNCTION("""COMPUTED_VALUE"""),"Tecnología en Mercadeo y Diseño Publicitario")</f>
        <v>Tecnología en Mercadeo y Diseño Publicitario</v>
      </c>
      <c r="D62" s="6" t="str">
        <f>IFERROR(__xludf.DUMMYFUNCTION("""COMPUTED_VALUE"""),"Fundacion social el encuentro requiere para equipo de trabajo un practicante para desempeñar tareas como diseñar y ejecutar el plan de comunicaciones institucional. Administrar y actualizar las redes sociales de la entidad. Crear contenido gráfico audiovi"&amp;"sual y escrito para medios digitales e impresos. Cubrir eventos institucionales mediante fotografías videos y publicaciones. Elaborar boletines comunicados y campañas informativas. Apoyar estrategias de promoción institucional y posicionamiento de marca. "&amp;"Mantener actualizada la página web y demás canales de comunicación. Diseñar material publicitario Apoyar campañas de eventos especiales. Velar por el uso adecuado de la imagen corporativa institucional.")</f>
        <v>Fundacion social el encuentro requiere para equipo de trabajo un practicante para desempeñar tareas como diseñar y ejecutar el plan de comunicaciones institucional. Administrar y actualizar las redes sociales de la entidad. Crear contenido gráfico audiovisual y escrito para medios digitales e impresos. Cubrir eventos institucionales mediante fotografías videos y publicaciones. Elaborar boletines comunicados y campañas informativas. Apoyar estrategias de promoción institucional y posicionamiento de marca. Mantener actualizada la página web y demás canales de comunicación. Diseñar material publicitario Apoyar campañas de eventos especiales. Velar por el uso adecuado de la imagen corporativa institucional.</v>
      </c>
      <c r="E62" s="7" t="str">
        <f>IFERROR(__xludf.DUMMYFUNCTION("""COMPUTED_VALUE"""),"Si")</f>
        <v>Si</v>
      </c>
      <c r="F62" s="6" t="str">
        <f>IFERROR(__xludf.DUMMYFUNCTION("""COMPUTED_VALUE"""),"Bogotá (Chia, Cota, Sopó, Cajicá y alrededores)")</f>
        <v>Bogotá (Chia, Cota, Sopó, Cajicá y alrededores)</v>
      </c>
      <c r="G62" s="6" t="str">
        <f>IFERROR(__xludf.DUMMYFUNCTION("""COMPUTED_VALUE"""),"Mercadeo y Publicidad")</f>
        <v>Mercadeo y Publicidad</v>
      </c>
      <c r="H62" s="6" t="str">
        <f>IFERROR(__xludf.DUMMYFUNCTION("""COMPUTED_VALUE"""),"1 SMMLV")</f>
        <v>1 SMMLV</v>
      </c>
      <c r="I62" s="8">
        <f>IFERROR(__xludf.DUMMYFUNCTION("""COMPUTED_VALUE"""),46266.0)</f>
        <v>46266</v>
      </c>
      <c r="J62" s="8">
        <f>IFERROR(__xludf.DUMMYFUNCTION("""COMPUTED_VALUE"""),46295.0)</f>
        <v>46295</v>
      </c>
      <c r="K62" s="7" t="str">
        <f>IFERROR(__xludf.DUMMYFUNCTION("""COMPUTED_VALUE"""),"psicologia@fundacionelencuentro.org")</f>
        <v>psicologia@fundacionelencuentro.org</v>
      </c>
      <c r="L62" s="3"/>
      <c r="M62" s="3"/>
      <c r="N62" s="3"/>
      <c r="O62" s="3"/>
      <c r="P62" s="3"/>
      <c r="Q62" s="3"/>
      <c r="R62" s="3"/>
      <c r="S62" s="3"/>
      <c r="T62" s="3"/>
      <c r="U62" s="3"/>
      <c r="V62" s="3"/>
      <c r="W62" s="3"/>
      <c r="X62" s="3"/>
      <c r="Y62" s="3"/>
    </row>
    <row r="63">
      <c r="A63" s="6" t="str">
        <f>IFERROR(__xludf.DUMMYFUNCTION("""COMPUTED_VALUE"""),"INTERASEO S.A.S.E.S.P.")</f>
        <v>INTERASEO S.A.S.E.S.P.</v>
      </c>
      <c r="B63" s="6" t="str">
        <f>IFERROR(__xludf.DUMMYFUNCTION("""COMPUTED_VALUE"""),"Ciclo tecnológico, Ciclo profesional")</f>
        <v>Ciclo tecnológico, Ciclo profesional</v>
      </c>
      <c r="C63" s="6" t="str">
        <f>IFERROR(__xludf.DUMMYFUNCTION("""COMPUTED_VALUE"""),"Tecnología en Mercadeo y Diseño Publicitario, Tecnología en Gestión Contable, Tecnología en Gestión de Comercio Exterior, Tecnología en Automatización y Robótica Industrial, Tecnología en Mecánica Industrial, Tecnología en Gestión de Procesos Industriales"&amp;", Tecnología en Gestión Ambiental")</f>
        <v>Tecnología en Mercadeo y Diseño Publicitario, Tecnología en Gestión Contable, Tecnología en Gestión de Comercio Exterior, Tecnología en Automatización y Robótica Industrial, Tecnología en Mecánica Industrial, Tecnología en Gestión de Procesos Industriales, Tecnología en Gestión Ambiental</v>
      </c>
      <c r="D63" s="6" t="str">
        <f>IFERROR(__xludf.DUMMYFUNCTION("""COMPUTED_VALUE"""),"Buscamos aprendices adminstrativos que puedan firmar contrato de aprendizaje para las diferentes areas de nuestra oficina central, tales como comercial, contabilidad, tesoreria, abastecimiento, compras, talento humano, etc")</f>
        <v>Buscamos aprendices adminstrativos que puedan firmar contrato de aprendizaje para las diferentes areas de nuestra oficina central, tales como comercial, contabilidad, tesoreria, abastecimiento, compras, talento humano, etc</v>
      </c>
      <c r="E63" s="7" t="str">
        <f>IFERROR(__xludf.DUMMYFUNCTION("""COMPUTED_VALUE"""),"No")</f>
        <v>No</v>
      </c>
      <c r="F63" s="6" t="str">
        <f>IFERROR(__xludf.DUMMYFUNCTION("""COMPUTED_VALUE"""),"Bogotá (Chia, Cota, Sopó, Cajicá y alrededores)")</f>
        <v>Bogotá (Chia, Cota, Sopó, Cajicá y alrededores)</v>
      </c>
      <c r="G63" s="6" t="str">
        <f>IFERROR(__xludf.DUMMYFUNCTION("""COMPUTED_VALUE"""),"Mercadeo y Publicidad, Contaduría Pública, Comercio Internacional, Administración de Empresas Virtual, Derecho, Ingeniería Industrial, Ingeniería de Sistemas, Ingeniería Ambiental")</f>
        <v>Mercadeo y Publicidad, Contaduría Pública, Comercio Internacional, Administración de Empresas Virtual, Derecho, Ingeniería Industrial, Ingeniería de Sistemas, Ingeniería Ambiental</v>
      </c>
      <c r="H63" s="6" t="str">
        <f>IFERROR(__xludf.DUMMYFUNCTION("""COMPUTED_VALUE"""),"1 SMMLV")</f>
        <v>1 SMMLV</v>
      </c>
      <c r="I63" s="8">
        <f>IFERROR(__xludf.DUMMYFUNCTION("""COMPUTED_VALUE"""),46266.0)</f>
        <v>46266</v>
      </c>
      <c r="J63" s="8">
        <f>IFERROR(__xludf.DUMMYFUNCTION("""COMPUTED_VALUE"""),46295.0)</f>
        <v>46295</v>
      </c>
      <c r="K63" s="7" t="str">
        <f>IFERROR(__xludf.DUMMYFUNCTION("""COMPUTED_VALUE"""),"practicantegh.ofic@interaseo.com.co")</f>
        <v>practicantegh.ofic@interaseo.com.co</v>
      </c>
      <c r="L63" s="3"/>
      <c r="M63" s="3"/>
      <c r="N63" s="3"/>
      <c r="O63" s="3"/>
      <c r="P63" s="3"/>
      <c r="Q63" s="3"/>
      <c r="R63" s="3"/>
      <c r="S63" s="3"/>
      <c r="T63" s="3"/>
      <c r="U63" s="3"/>
      <c r="V63" s="3"/>
      <c r="W63" s="3"/>
      <c r="X63" s="3"/>
      <c r="Y63" s="3"/>
    </row>
    <row r="64">
      <c r="A64" s="6" t="str">
        <f>IFERROR(__xludf.DUMMYFUNCTION("""COMPUTED_VALUE"""),"DIGITAL WARE")</f>
        <v>DIGITAL WARE</v>
      </c>
      <c r="B64" s="6" t="str">
        <f>IFERROR(__xludf.DUMMYFUNCTION("""COMPUTED_VALUE"""),"Ciclo tecnológico")</f>
        <v>Ciclo tecnológico</v>
      </c>
      <c r="C64" s="6" t="str">
        <f>IFERROR(__xludf.DUMMYFUNCTION("""COMPUTED_VALUE"""),"Tecnología en Gestión de Procesos Industriales")</f>
        <v>Tecnología en Gestión de Procesos Industriales</v>
      </c>
      <c r="D64" s="6" t="str">
        <f>IFERROR(__xludf.DUMMYFUNCTION("""COMPUTED_VALUE"""),"CONVIERTE TU FORMACIÓN EN EXPERIENCIA
Practicante Administrativo | Digital Ware S.A.S.
¿Estás habilitado(a) para iniciar tus prácticas y quieres dar el siguiente paso en tu formación, adquiriendo experiencia en un entorno laboral real?
En Digital Ware S."&amp;"A.S. buscamos un Practicante Administrativo para brindar apoyo en los procesos administrativos de formación, participando en la organización, seguimiento y gestión de las diferentes actividades de capacitación y desarrollo.
FUNCIONES PRINCIPALES: 
-Apoyar"&amp;" la programación, organización y seguimiento de cursos, capacitaciones y talleres.
-Brindar apoyo en la gestión logística de actividades presenciales y virtuales, participantes, espacios, horarios y recursos.
-Gestionar inscripciones, usuarios y actualiza"&amp;"ción de cursos y contenidos en las plataformas de formación.
-Registrar y mantener actualizada la información en bases de datos, archivos y herramientas corporativas.
-Consolidar información y elaborar reportes e informes de seguimiento.
REQUISITOS:
-Estu"&amp;"diante en etapa de práctica de programas técnicos, tecnológicos en Administración de Empresas, Gestión Administrativa, Gestión Empresarial, Procesos Administrativos, Ingeniería Industrial o carreras afines.
-Manejo intermedio de Excel.
-Manejo de herramie"&amp;"ntas Microsoft 365 (Outlook, Teams, SharePoint y OneDrive).
-Conocimientos básicos en elaboración de informes y manejo de bases de datos.
-Deseable conocimiento en Moodle u otras plataformas LMS.
¿QUE ORFECEMOS?
-Contrato de aprendizaje a 6 meses o 1 año "&amp;"con:
-Remuneración de SMMLV.
-Todas las prestaciones de ley.
¡Tu etapa de formación puede ser el inicio de grandes oportunidades!
Si quieres llevar tus conocimientos del aula a escenarios reales y comenzar a construir tu experiencia profesional en una com"&amp;"pañía de tecnología, queremos conocerte.
Postúlate y comienza tu experiencia profesional con Digital Ware S.A.S.
")</f>
        <v>CONVIERTE TU FORMACIÓN EN EXPERIENCIA
Practicante Administrativo | Digital Ware S.A.S.
¿Estás habilitado(a) para iniciar tus prácticas y quieres dar el siguiente paso en tu formación, adquiriendo experiencia en un entorno laboral real?
En Digital Ware S.A.S. buscamos un Practicante Administrativo para brindar apoyo en los procesos administrativos de formación, participando en la organización, seguimiento y gestión de las diferentes actividades de capacitación y desarrollo.
FUNCIONES PRINCIPALES: 
-Apoyar la programación, organización y seguimiento de cursos, capacitaciones y talleres.
-Brindar apoyo en la gestión logística de actividades presenciales y virtuales, participantes, espacios, horarios y recursos.
-Gestionar inscripciones, usuarios y actualización de cursos y contenidos en las plataformas de formación.
-Registrar y mantener actualizada la información en bases de datos, archivos y herramientas corporativas.
-Consolidar información y elaborar reportes e informes de seguimiento.
REQUISITOS:
-Estudiante en etapa de práctica de programas técnicos, tecnológicos en Administración de Empresas, Gestión Administrativa, Gestión Empresarial, Procesos Administrativos, Ingeniería Industrial o carreras afines.
-Manejo intermedio de Excel.
-Manejo de herramientas Microsoft 365 (Outlook, Teams, SharePoint y OneDrive).
-Conocimientos básicos en elaboración de informes y manejo de bases de datos.
-Deseable conocimiento en Moodle u otras plataformas LMS.
¿QUE ORFECEMOS?
-Contrato de aprendizaje a 6 meses o 1 año con:
-Remuneración de SMMLV.
-Todas las prestaciones de ley.
¡Tu etapa de formación puede ser el inicio de grandes oportunidades!
Si quieres llevar tus conocimientos del aula a escenarios reales y comenzar a construir tu experiencia profesional en una compañía de tecnología, queremos conocerte.
Postúlate y comienza tu experiencia profesional con Digital Ware S.A.S.
</v>
      </c>
      <c r="E64" s="7" t="str">
        <f>IFERROR(__xludf.DUMMYFUNCTION("""COMPUTED_VALUE"""),"Si")</f>
        <v>Si</v>
      </c>
      <c r="F64" s="6" t="str">
        <f>IFERROR(__xludf.DUMMYFUNCTION("""COMPUTED_VALUE"""),"Bogotá (Chia, Cota, Sopó, Cajicá y alrededores)")</f>
        <v>Bogotá (Chia, Cota, Sopó, Cajicá y alrededores)</v>
      </c>
      <c r="G64" s="6" t="str">
        <f>IFERROR(__xludf.DUMMYFUNCTION("""COMPUTED_VALUE"""),"Administración de Empresas Virtual, Ingeniería Industrial")</f>
        <v>Administración de Empresas Virtual, Ingeniería Industrial</v>
      </c>
      <c r="H64" s="6" t="str">
        <f>IFERROR(__xludf.DUMMYFUNCTION("""COMPUTED_VALUE"""),"1 SMMLV")</f>
        <v>1 SMMLV</v>
      </c>
      <c r="I64" s="8">
        <f>IFERROR(__xludf.DUMMYFUNCTION("""COMPUTED_VALUE"""),46266.0)</f>
        <v>46266</v>
      </c>
      <c r="J64" s="8">
        <f>IFERROR(__xludf.DUMMYFUNCTION("""COMPUTED_VALUE"""),46295.0)</f>
        <v>46295</v>
      </c>
      <c r="K64" s="7" t="str">
        <f>IFERROR(__xludf.DUMMYFUNCTION("""COMPUTED_VALUE"""),"LuisVV@digitalware.com.co")</f>
        <v>LuisVV@digitalware.com.co</v>
      </c>
      <c r="L64" s="3"/>
      <c r="M64" s="3"/>
      <c r="N64" s="3"/>
      <c r="O64" s="3"/>
      <c r="P64" s="3"/>
      <c r="Q64" s="3"/>
      <c r="R64" s="3"/>
      <c r="S64" s="3"/>
      <c r="T64" s="3"/>
      <c r="U64" s="3"/>
      <c r="V64" s="3"/>
      <c r="W64" s="3"/>
      <c r="X64" s="3"/>
      <c r="Y64" s="3"/>
    </row>
    <row r="65">
      <c r="A65" s="6" t="str">
        <f>IFERROR(__xludf.DUMMYFUNCTION("""COMPUTED_VALUE"""),"COMPAÑÍA COLOMBIANA DE CERÁMICA S.A.S. (CORONA)")</f>
        <v>COMPAÑÍA COLOMBIANA DE CERÁMICA S.A.S. (CORONA)</v>
      </c>
      <c r="B65" s="6" t="str">
        <f>IFERROR(__xludf.DUMMYFUNCTION("""COMPUTED_VALUE"""),"Ciclo tecnológico, Ciclo profesional")</f>
        <v>Ciclo tecnológico, Ciclo profesional</v>
      </c>
      <c r="C65" s="6" t="str">
        <f>IFERROR(__xludf.DUMMYFUNCTION("""COMPUTED_VALUE"""),"Tecnología en Mercadeo y Diseño Publicitario, Tecnología en Gestión Contable, Tecnología en Gestión de Comercio Exterior, Tecnología en Procesos Químicos Industriales, Tecnología en Procesamiento de Polímeros, Tecnología en Automatización y Robótica Indus"&amp;"trial, Tecnología en Mecánica Industrial, Tecnología en Mecánica Automotriz, Tecnología en Gestión de Procesos Industriales, Tecnología en Soporte de Telecomunicaciones, Tecnología en Electrónica Industrial, Tecnología en Mantenimiento de Equipos Biomédic"&amp;"os, Tecnología en Desarrollo Informático, Tecnología en Gestión Ambiental")</f>
        <v>Tecnología en Mercadeo y Diseño Publicitario, Tecnología en Gestión Contable, Tecnología en Gestión de Comercio Exterior, Tecnología en Procesos Químicos Industriales, Tecnología en Procesamiento de Polímeros, Tecnología en Automatización y Robótica Industrial, Tecnología en Mecánica Industrial, Tecnología en Mecánica Automotriz, Tecnología en Gestión de Procesos Industriales, Tecnología en Soporte de Telecomunicaciones, Tecnología en Electrónica Industrial, Tecnología en Mantenimiento de Equipos Biomédicos, Tecnología en Desarrollo Informático, Tecnología en Gestión Ambiental</v>
      </c>
      <c r="D65" s="6" t="str">
        <f>IFERROR(__xludf.DUMMYFUNCTION("""COMPUTED_VALUE"""),"La Compañía Colombiana de Cerámica S.A.S. (Corona), en alianza con Mentes Estratégicas S.A.S., requiere para su equipo de trabajo estudiantes de Tecnología en Transformación de Plásticos que se encuentren habilitados para iniciar su etapa productiva. La p"&amp;"ráctica se desarrollará en la Planta Funza, donde el aprendiz tendrá la oportunidad de fortalecer sus conocimientos técnicos y participar activamente en proyectos de mejoramiento continuo enfocados en la optimización de procesos productivos.
Dentro de sus"&amp;" principales funciones se encuentran el apoyo en la ampliación de la metodología Justo a Tiempo (JIT), la toma y análisis de tiempos de las diferentes actividades del proceso, la evaluación de procesos e identificación de oportunidades de mejora, el segui"&amp;"miento y análisis de indicadores de gestión, la elaboración de propuestas de mejoramiento orientadas a optimizar tiempos y recursos, así como la documentación y actualización de los proyectos asociados a la metodología JIT, incluyendo avances, resultados "&amp;"y acciones implementadas.
La compañía ofrece contrato de aprendizaje SENA, apoyo de sostenimiento correspondiente al 100% del SMMLV, afiliación a EPS y ARL, además de los beneficios legales aplicables durante la etapa productiva. Adicionalmente, cuenta co"&amp;"n rutas de transporte que cubren diferentes sectores de la ciudad y servicio de alimentación subsidiada al 90%. El lugar de práctica será la Planta Funza de Corona.")</f>
        <v>La Compañía Colombiana de Cerámica S.A.S. (Corona), en alianza con Mentes Estratégicas S.A.S., requiere para su equipo de trabajo estudiantes de Tecnología en Transformación de Plásticos que se encuentren habilitados para iniciar su etapa productiva. La práctica se desarrollará en la Planta Funza, donde el aprendiz tendrá la oportunidad de fortalecer sus conocimientos técnicos y participar activamente en proyectos de mejoramiento continuo enfocados en la optimización de procesos productivos.
Dentro de sus principales funciones se encuentran el apoyo en la ampliación de la metodología Justo a Tiempo (JIT), la toma y análisis de tiempos de las diferentes actividades del proceso, la evaluación de procesos e identificación de oportunidades de mejora, el seguimiento y análisis de indicadores de gestión, la elaboración de propuestas de mejoramiento orientadas a optimizar tiempos y recursos, así como la documentación y actualización de los proyectos asociados a la metodología JIT, incluyendo avances, resultados y acciones implementadas.
La compañía ofrece contrato de aprendizaje SENA, apoyo de sostenimiento correspondiente al 100% del SMMLV, afiliación a EPS y ARL, además de los beneficios legales aplicables durante la etapa productiva. Adicionalmente, cuenta con rutas de transporte que cubren diferentes sectores de la ciudad y servicio de alimentación subsidiada al 90%. El lugar de práctica será la Planta Funza de Corona.</v>
      </c>
      <c r="E65" s="7" t="str">
        <f>IFERROR(__xludf.DUMMYFUNCTION("""COMPUTED_VALUE"""),"Si")</f>
        <v>Si</v>
      </c>
      <c r="F65" s="6" t="str">
        <f>IFERROR(__xludf.DUMMYFUNCTION("""COMPUTED_VALUE"""),"Bogotá (Chia, Cota, Sopó, Cajicá y alrededores)")</f>
        <v>Bogotá (Chia, Cota, Sopó, Cajicá y alrededores)</v>
      </c>
      <c r="G65" s="6" t="str">
        <f>IFERROR(__xludf.DUMMYFUNCTION("""COMPUTED_VALUE"""),"Profesional en Entrenamiento Deportivo, Mercadeo y Publicidad, Contaduría Pública, Comercio Internacional, Administración de Empresas Virtual, Derecho, Ingeniería Mecatrónica, Ingeniería Mecánica, Ingeniería Industrial, Ingeniería Electrónica")</f>
        <v>Profesional en Entrenamiento Deportivo, Mercadeo y Publicidad, Contaduría Pública, Comercio Internacional, Administración de Empresas Virtual, Derecho, Ingeniería Mecatrónica, Ingeniería Mecánica, Ingeniería Industrial, Ingeniería Electrónica</v>
      </c>
      <c r="H65" s="6" t="str">
        <f>IFERROR(__xludf.DUMMYFUNCTION("""COMPUTED_VALUE"""),"1 SMMLV")</f>
        <v>1 SMMLV</v>
      </c>
      <c r="I65" s="8">
        <f>IFERROR(__xludf.DUMMYFUNCTION("""COMPUTED_VALUE"""),46266.0)</f>
        <v>46266</v>
      </c>
      <c r="J65" s="8">
        <f>IFERROR(__xludf.DUMMYFUNCTION("""COMPUTED_VALUE"""),46387.0)</f>
        <v>46387</v>
      </c>
      <c r="K65" s="7" t="str">
        <f>IFERROR(__xludf.DUMMYFUNCTION("""COMPUTED_VALUE"""),"emescobar@corona.com.co")</f>
        <v>emescobar@corona.com.co</v>
      </c>
      <c r="L65" s="3"/>
      <c r="M65" s="3"/>
      <c r="N65" s="3"/>
      <c r="O65" s="3"/>
      <c r="P65" s="3"/>
      <c r="Q65" s="3"/>
      <c r="R65" s="3"/>
      <c r="S65" s="3"/>
      <c r="T65" s="3"/>
      <c r="U65" s="3"/>
      <c r="V65" s="3"/>
      <c r="W65" s="3"/>
      <c r="X65" s="3"/>
      <c r="Y65" s="3"/>
    </row>
    <row r="66">
      <c r="A66" s="6" t="str">
        <f>IFERROR(__xludf.DUMMYFUNCTION("""COMPUTED_VALUE"""),"INSURABLE LTDA")</f>
        <v>INSURABLE LTDA</v>
      </c>
      <c r="B66" s="6" t="str">
        <f>IFERROR(__xludf.DUMMYFUNCTION("""COMPUTED_VALUE"""),"Ciclo tecnológico, Ciclo profesional")</f>
        <v>Ciclo tecnológico, Ciclo profesional</v>
      </c>
      <c r="C66" s="6" t="str">
        <f>IFERROR(__xludf.DUMMYFUNCTION("""COMPUTED_VALUE"""),"Tecnología en Gestión Contable, No aplica")</f>
        <v>Tecnología en Gestión Contable, No aplica</v>
      </c>
      <c r="D66" s="6" t="str">
        <f>IFERROR(__xludf.DUMMYFUNCTION("""COMPUTED_VALUE"""),"Agencia de Seguros, buscamos el próximo auxiliar comercial operativo, esperamos que tenga una; Formación académica: Técnico, tecnólogo o estudiante de carreras administrativas, comerciales, financieras, seguros, o áreas afines.
Experiencia: Preferiblemen"&amp;"te entre 6 meses y 1 año en cargos administrativos, comerciales, operativos, cartera o servicio al cliente. Se valorará experiencia en agencias, corredores o compañías de seguros.
Conocimientos deseables: Manejo básico de pólizas de seguros; procesos de "&amp;"emisión y renovación; manejo documental; conceptos básicos de SARLAFT y conocimiento del cliente; manejo de cartera y conciliación básica de pagos; Microsoft Excel; Outlook y Microsoft 365; y manejo de Softseguros, deseable pero no indispensable si se rea"&amp;"liza capacitación.")</f>
        <v>Agencia de Seguros, buscamos el próximo auxiliar comercial operativo, esperamos que tenga una; Formación académica: Técnico, tecnólogo o estudiante de carreras administrativas, comerciales, financieras, seguros, o áreas afines.
Experiencia: Preferiblemente entre 6 meses y 1 año en cargos administrativos, comerciales, operativos, cartera o servicio al cliente. Se valorará experiencia en agencias, corredores o compañías de seguros.
Conocimientos deseables: Manejo básico de pólizas de seguros; procesos de emisión y renovación; manejo documental; conceptos básicos de SARLAFT y conocimiento del cliente; manejo de cartera y conciliación básica de pagos; Microsoft Excel; Outlook y Microsoft 365; y manejo de Softseguros, deseable pero no indispensable si se realiza capacitación.</v>
      </c>
      <c r="E66" s="7" t="str">
        <f>IFERROR(__xludf.DUMMYFUNCTION("""COMPUTED_VALUE"""),"No")</f>
        <v>No</v>
      </c>
      <c r="F66" s="6" t="str">
        <f>IFERROR(__xludf.DUMMYFUNCTION("""COMPUTED_VALUE"""),"Bogotá (Chia, Cota, Sopó, Cajicá y alrededores)")</f>
        <v>Bogotá (Chia, Cota, Sopó, Cajicá y alrededores)</v>
      </c>
      <c r="G66" s="6" t="str">
        <f>IFERROR(__xludf.DUMMYFUNCTION("""COMPUTED_VALUE"""),"Administración de Empresas Virtual")</f>
        <v>Administración de Empresas Virtual</v>
      </c>
      <c r="H66" s="6" t="str">
        <f>IFERROR(__xludf.DUMMYFUNCTION("""COMPUTED_VALUE"""),"1 SMMLV")</f>
        <v>1 SMMLV</v>
      </c>
      <c r="I66" s="8">
        <f>IFERROR(__xludf.DUMMYFUNCTION("""COMPUTED_VALUE"""),46266.0)</f>
        <v>46266</v>
      </c>
      <c r="J66" s="8">
        <f>IFERROR(__xludf.DUMMYFUNCTION("""COMPUTED_VALUE"""),46295.0)</f>
        <v>46295</v>
      </c>
      <c r="K66" s="7" t="str">
        <f>IFERROR(__xludf.DUMMYFUNCTION("""COMPUTED_VALUE"""),"jcardozo@insurable.com.co")</f>
        <v>jcardozo@insurable.com.co</v>
      </c>
      <c r="L66" s="3"/>
      <c r="M66" s="3"/>
      <c r="N66" s="3"/>
      <c r="O66" s="3"/>
      <c r="P66" s="3"/>
      <c r="Q66" s="3"/>
      <c r="R66" s="3"/>
      <c r="S66" s="3"/>
      <c r="T66" s="3"/>
      <c r="U66" s="3"/>
      <c r="V66" s="3"/>
      <c r="W66" s="3"/>
      <c r="X66" s="3"/>
      <c r="Y66" s="3"/>
    </row>
    <row r="67">
      <c r="A67" s="6" t="str">
        <f>IFERROR(__xludf.DUMMYFUNCTION("""COMPUTED_VALUE"""),"ROCH INGENIERIA")</f>
        <v>ROCH INGENIERIA</v>
      </c>
      <c r="B67" s="6" t="str">
        <f>IFERROR(__xludf.DUMMYFUNCTION("""COMPUTED_VALUE"""),"Ciclo profesional")</f>
        <v>Ciclo profesional</v>
      </c>
      <c r="C67" s="6" t="str">
        <f>IFERROR(__xludf.DUMMYFUNCTION("""COMPUTED_VALUE"""),"Tecnología en Automatización y Robótica Industrial")</f>
        <v>Tecnología en Automatización y Robótica Industrial</v>
      </c>
      <c r="D67" s="6" t="str">
        <f>IFERROR(__xludf.DUMMYFUNCTION("""COMPUTED_VALUE"""),"Estamos en búsqueda de practicantes o recién graduados de ingeniería mecatrónica o mecanica para sistemas de protección contra incendio y seguridad humana")</f>
        <v>Estamos en búsqueda de practicantes o recién graduados de ingeniería mecatrónica o mecanica para sistemas de protección contra incendio y seguridad humana</v>
      </c>
      <c r="E67" s="7" t="str">
        <f>IFERROR(__xludf.DUMMYFUNCTION("""COMPUTED_VALUE"""),"No")</f>
        <v>No</v>
      </c>
      <c r="F67" s="6" t="str">
        <f>IFERROR(__xludf.DUMMYFUNCTION("""COMPUTED_VALUE"""),"Bogotá (Chia, Cota, Sopó, Cajicá y alrededores)")</f>
        <v>Bogotá (Chia, Cota, Sopó, Cajicá y alrededores)</v>
      </c>
      <c r="G67" s="6" t="str">
        <f>IFERROR(__xludf.DUMMYFUNCTION("""COMPUTED_VALUE"""),"Ingeniería Mecatrónica, Ingeniería Mecánica")</f>
        <v>Ingeniería Mecatrónica, Ingeniería Mecánica</v>
      </c>
      <c r="H67" s="6" t="str">
        <f>IFERROR(__xludf.DUMMYFUNCTION("""COMPUTED_VALUE"""),"1 SMMLV")</f>
        <v>1 SMMLV</v>
      </c>
      <c r="I67" s="8">
        <f>IFERROR(__xludf.DUMMYFUNCTION("""COMPUTED_VALUE"""),46266.0)</f>
        <v>46266</v>
      </c>
      <c r="J67" s="8">
        <f>IFERROR(__xludf.DUMMYFUNCTION("""COMPUTED_VALUE"""),46326.0)</f>
        <v>46326</v>
      </c>
      <c r="K67" s="7" t="str">
        <f>IFERROR(__xludf.DUMMYFUNCTION("""COMPUTED_VALUE"""),"recursoshumanos@roch.com.co")</f>
        <v>recursoshumanos@roch.com.co</v>
      </c>
      <c r="L67" s="3"/>
      <c r="M67" s="3"/>
      <c r="N67" s="3"/>
      <c r="O67" s="3"/>
      <c r="P67" s="3"/>
      <c r="Q67" s="3"/>
      <c r="R67" s="3"/>
      <c r="S67" s="3"/>
      <c r="T67" s="3"/>
      <c r="U67" s="3"/>
      <c r="V67" s="3"/>
      <c r="W67" s="3"/>
      <c r="X67" s="3"/>
      <c r="Y67" s="3"/>
    </row>
    <row r="68">
      <c r="A68" s="6" t="str">
        <f>IFERROR(__xludf.DUMMYFUNCTION("""COMPUTED_VALUE"""),"TCS URUGUAY S.A. SUCURSAL COLOMBIA")</f>
        <v>TCS URUGUAY S.A. SUCURSAL COLOMBIA</v>
      </c>
      <c r="B68" s="6" t="str">
        <f>IFERROR(__xludf.DUMMYFUNCTION("""COMPUTED_VALUE"""),"Ciclo tecnológico, Ciclo profesional")</f>
        <v>Ciclo tecnológico, Ciclo profesional</v>
      </c>
      <c r="C68" s="6" t="str">
        <f>IFERROR(__xludf.DUMMYFUNCTION("""COMPUTED_VALUE"""),"Tecnología en Gestión Contable, Tecnología en Soporte de Telecomunicaciones, Tecnología en Desarrollo Informático")</f>
        <v>Tecnología en Gestión Contable, Tecnología en Soporte de Telecomunicaciones, Tecnología en Desarrollo Informático</v>
      </c>
      <c r="D68" s="6" t="str">
        <f>IFERROR(__xludf.DUMMYFUNCTION("""COMPUTED_VALUE"""),"Copilot said:
Empresa del sector empresarial requiere para su equipo de trabajo hombres y mujeres para desempeñar el cargo de Practicante de Contabilidad, que se encuentren en etapa práctica y deseen fortalecer sus conocimientos en procesos contables y a"&amp;"dministrativos. La persona apoyará actividades relacionadas con conciliaciones contables, manejo de bases de datos, elaboración de reportes y seguimiento de procesos internos, contribuyendo al cumplimiento de los objetivos del área.
Funciones principales"&amp;":
Apoyar la ejecución de procesos contables y administrativos establecidos.
Realizar conciliaciones de cuentas contables.
Gestionar, actualizar y controlar bases de datos e informes en Excel.
Apoyar la elaboración y seguimiento de reportes del área.
Faci"&amp;"litar la comunicación y el flujo de información entre los diferentes participantes del proyecto.
Garantizar el cumplimiento de los procedimientos internos y fechas de entrega.
Competencias técnicas:
Conocimiento de normas contables (IFRS).
Manejo de con"&amp;"ciliaciones de cuentas contables.
Manejo y control de bases de datos y reportes en Excel.
Competencias analíticas:
Identificación y ejecución de procesos contables y administrativos.
Capacidad para facilitar canales de comunicación efectivos dentro de l"&amp;"os proyectos.
Competencias personales:
Organización y atención al detalle.
Ética profesional.
Trabajo en equipo.
Comunicación asertiva.
Adaptabilidad.
Actitudes requeridas:
Proactividad.
Orientación a resultados.
Compromiso con el cumplimiento de fech"&amp;"as de entrega.
Condiciones de la práctica:
Tipo de contrato: Convenio de aprendizaje/práctica.
Horario: Lunes a viernes, horario administrativo.
Modalidad y lugar de trabajo: Según lineamientos de la compañía.
Enfoque de la práctica: Contabilidad y gest"&amp;"ión administrativa.")</f>
        <v>Copilot said:
Empresa del sector empresarial requiere para su equipo de trabajo hombres y mujeres para desempeñar el cargo de Practicante de Contabilidad, que se encuentren en etapa práctica y deseen fortalecer sus conocimientos en procesos contables y administrativos. La persona apoyará actividades relacionadas con conciliaciones contables, manejo de bases de datos, elaboración de reportes y seguimiento de procesos internos, contribuyendo al cumplimiento de los objetivos del área.
Funciones principales:
Apoyar la ejecución de procesos contables y administrativos establecidos.
Realizar conciliaciones de cuentas contables.
Gestionar, actualizar y controlar bases de datos e informes en Excel.
Apoyar la elaboración y seguimiento de reportes del área.
Facilitar la comunicación y el flujo de información entre los diferentes participantes del proyecto.
Garantizar el cumplimiento de los procedimientos internos y fechas de entrega.
Competencias técnicas:
Conocimiento de normas contables (IFRS).
Manejo de conciliaciones de cuentas contables.
Manejo y control de bases de datos y reportes en Excel.
Competencias analíticas:
Identificación y ejecución de procesos contables y administrativos.
Capacidad para facilitar canales de comunicación efectivos dentro de los proyectos.
Competencias personales:
Organización y atención al detalle.
Ética profesional.
Trabajo en equipo.
Comunicación asertiva.
Adaptabilidad.
Actitudes requeridas:
Proactividad.
Orientación a resultados.
Compromiso con el cumplimiento de fechas de entrega.
Condiciones de la práctica:
Tipo de contrato: Convenio de aprendizaje/práctica.
Horario: Lunes a viernes, horario administrativo.
Modalidad y lugar de trabajo: Según lineamientos de la compañía.
Enfoque de la práctica: Contabilidad y gestión administrativa.</v>
      </c>
      <c r="E68" s="7" t="str">
        <f>IFERROR(__xludf.DUMMYFUNCTION("""COMPUTED_VALUE"""),"Si")</f>
        <v>Si</v>
      </c>
      <c r="F68" s="6" t="str">
        <f>IFERROR(__xludf.DUMMYFUNCTION("""COMPUTED_VALUE"""),"Bogotá (Chia, Cota, Sopó, Cajicá y alrededores)")</f>
        <v>Bogotá (Chia, Cota, Sopó, Cajicá y alrededores)</v>
      </c>
      <c r="G68" s="6" t="str">
        <f>IFERROR(__xludf.DUMMYFUNCTION("""COMPUTED_VALUE"""),"Contaduría Pública, Administración de Empresas Virtual, Ingeniería Industrial")</f>
        <v>Contaduría Pública, Administración de Empresas Virtual, Ingeniería Industrial</v>
      </c>
      <c r="H68" s="6" t="str">
        <f>IFERROR(__xludf.DUMMYFUNCTION("""COMPUTED_VALUE"""),"1 SMMLV")</f>
        <v>1 SMMLV</v>
      </c>
      <c r="I68" s="8">
        <f>IFERROR(__xludf.DUMMYFUNCTION("""COMPUTED_VALUE"""),46266.0)</f>
        <v>46266</v>
      </c>
      <c r="J68" s="8">
        <f>IFERROR(__xludf.DUMMYFUNCTION("""COMPUTED_VALUE"""),46295.0)</f>
        <v>46295</v>
      </c>
      <c r="K68" s="7" t="str">
        <f>IFERROR(__xludf.DUMMYFUNCTION("""COMPUTED_VALUE"""),"Sofia.a1@tcs.com")</f>
        <v>Sofia.a1@tcs.com</v>
      </c>
      <c r="L68" s="3"/>
      <c r="M68" s="3"/>
      <c r="N68" s="3"/>
      <c r="O68" s="3"/>
      <c r="P68" s="3"/>
      <c r="Q68" s="3"/>
      <c r="R68" s="3"/>
      <c r="S68" s="3"/>
      <c r="T68" s="3"/>
      <c r="U68" s="3"/>
      <c r="V68" s="3"/>
      <c r="W68" s="3"/>
      <c r="X68" s="3"/>
      <c r="Y68" s="3"/>
    </row>
    <row r="69">
      <c r="A69" s="6" t="str">
        <f>IFERROR(__xludf.DUMMYFUNCTION("""COMPUTED_VALUE"""),"MINIPAK SAS")</f>
        <v>MINIPAK SAS</v>
      </c>
      <c r="B69" s="6" t="str">
        <f>IFERROR(__xludf.DUMMYFUNCTION("""COMPUTED_VALUE"""),"Ciclo profesional")</f>
        <v>Ciclo profesional</v>
      </c>
      <c r="C69" s="6" t="str">
        <f>IFERROR(__xludf.DUMMYFUNCTION("""COMPUTED_VALUE"""),"No aplica")</f>
        <v>No aplica</v>
      </c>
      <c r="D69" s="6" t="str">
        <f>IFERROR(__xludf.DUMMYFUNCTION("""COMPUTED_VALUE"""),"En Minipak S.A.S., una empresa líder en el sector industrial de empaques flexibles, estamos en la búsqueda de nuestro próximo Aprendiz Profesional de Contaduría Pública.
Buscamos un estudiante de pregrado apasionado por el área financiera, con ganas de a"&amp;"prender y poner a prueba sus conocimientos teóricos en un entorno corporativo real. ¡No requerimos experiencia previa! Solo tu talento, compromiso y las mejores ganas de crecer con nosotros.
Condiciones de la oferta:
Ubicación: Bogotá D.C.
Horario: Lunes"&amp;" a viernes 
Tipo de contrato: Contrato de Aprendizaje.
Remuneración:  Salario Mínimo Legal Vigente (SMLV).
Beneficio exclusivo: Refrigerio diario totalmente gratis.")</f>
        <v>En Minipak S.A.S., una empresa líder en el sector industrial de empaques flexibles, estamos en la búsqueda de nuestro próximo Aprendiz Profesional de Contaduría Pública.
Buscamos un estudiante de pregrado apasionado por el área financiera, con ganas de aprender y poner a prueba sus conocimientos teóricos en un entorno corporativo real. ¡No requerimos experiencia previa! Solo tu talento, compromiso y las mejores ganas de crecer con nosotros.
Condiciones de la oferta:
Ubicación: Bogotá D.C.
Horario: Lunes a viernes 
Tipo de contrato: Contrato de Aprendizaje.
Remuneración:  Salario Mínimo Legal Vigente (SMLV).
Beneficio exclusivo: Refrigerio diario totalmente gratis.</v>
      </c>
      <c r="E69" s="7" t="str">
        <f>IFERROR(__xludf.DUMMYFUNCTION("""COMPUTED_VALUE"""),"Si")</f>
        <v>Si</v>
      </c>
      <c r="F69" s="6" t="str">
        <f>IFERROR(__xludf.DUMMYFUNCTION("""COMPUTED_VALUE"""),"Bogotá (Chia, Cota, Sopó, Cajicá y alrededores)")</f>
        <v>Bogotá (Chia, Cota, Sopó, Cajicá y alrededores)</v>
      </c>
      <c r="G69" s="6" t="str">
        <f>IFERROR(__xludf.DUMMYFUNCTION("""COMPUTED_VALUE"""),"Contaduría Pública")</f>
        <v>Contaduría Pública</v>
      </c>
      <c r="H69" s="6" t="str">
        <f>IFERROR(__xludf.DUMMYFUNCTION("""COMPUTED_VALUE"""),"1 SMMLV")</f>
        <v>1 SMMLV</v>
      </c>
      <c r="I69" s="8">
        <f>IFERROR(__xludf.DUMMYFUNCTION("""COMPUTED_VALUE"""),46266.0)</f>
        <v>46266</v>
      </c>
      <c r="J69" s="8">
        <f>IFERROR(__xludf.DUMMYFUNCTION("""COMPUTED_VALUE"""),46326.0)</f>
        <v>46326</v>
      </c>
      <c r="K69" s="7" t="str">
        <f>IFERROR(__xludf.DUMMYFUNCTION("""COMPUTED_VALUE"""),"psicologo@minipak.co")</f>
        <v>psicologo@minipak.co</v>
      </c>
      <c r="L69" s="3"/>
      <c r="M69" s="3"/>
      <c r="N69" s="3"/>
      <c r="O69" s="3"/>
      <c r="P69" s="3"/>
      <c r="Q69" s="3"/>
      <c r="R69" s="3"/>
      <c r="S69" s="3"/>
      <c r="T69" s="3"/>
      <c r="U69" s="3"/>
      <c r="V69" s="3"/>
      <c r="W69" s="3"/>
      <c r="X69" s="3"/>
      <c r="Y69" s="3"/>
    </row>
    <row r="70">
      <c r="A70" s="6" t="str">
        <f>IFERROR(__xludf.DUMMYFUNCTION("""COMPUTED_VALUE"""),"TRYCORE SAS")</f>
        <v>TRYCORE SAS</v>
      </c>
      <c r="B70" s="6" t="str">
        <f>IFERROR(__xludf.DUMMYFUNCTION("""COMPUTED_VALUE"""),"Ciclo tecnológico")</f>
        <v>Ciclo tecnológico</v>
      </c>
      <c r="C70" s="6" t="str">
        <f>IFERROR(__xludf.DUMMYFUNCTION("""COMPUTED_VALUE"""),"Tecnología en Desarrollo Informático")</f>
        <v>Tecnología en Desarrollo Informático</v>
      </c>
      <c r="D70" s="6" t="str">
        <f>IFERROR(__xludf.DUMMYFUNCTION("""COMPUTED_VALUE"""),"Desarrollador de IA: Tu misión será diseñar, desarrollar e implementar soluciones basadas en inteligencia artificial que optimicen procesos y generen valor real para nuestros clientes, integrando modelos de IA generativa y machine learning en productos y "&amp;"automatizaciones de alto impacto. 
Profesional en Ingeniería de Sistemas, Software o carreras afines.
Experiencia mínima de 2 años desarrollando soluciones con inteligencia artificial, machine learning o modelos de lenguaje (LLMs).
Conocimiento en framewo"&amp;"rks y librerías de IA como Python, LangChain, TensorFlow, PyTorch u otros similares.
Experiencia integrando APIs de modelos de IA generativa (OpenAI, Claude, entre otros) en aplicaciones y flujos de trabajo.
Manejo de buenas prácticas de desarrollo de sof"&amp;"tware y control de versiones (Git).
Capacidad analítica para resolver problemas complejos y proponer soluciones innovadoras basadas en datos.
Contrato a término indefinido.
Oficina con propósito: sin esquema fijo, un espacio para generar conexiones de val"&amp;"or (Este item aplica solo para modalidad hibrida - Bogotá)
Ambiente joven y dinámico.
Participación en proyectos con clientes a nivel LATAM y diversas industrias.
Programas de capacitación y desarrollo.
Paquete de beneficios: Auxilios académicos, Certific"&amp;"ación con nuestros partners, alianza con Open English, Platzi, entre otros.
Salario a convenir.
Desarrollador RPA (Automation Anywhere): Tu misión será diseñar, desarrollar e implementar automatizaciones robóticas de procesos (RPA) utilizando Automation "&amp;"Anywhere, optimizando la eficiencia operativa y generando soluciones escalables que aporten valor real a nuestros clientes.
Profesional en Ingeniería de Sistemas, Software o carreras afines.
Experiencia mínima de 3 años desarrollando automatizaciones con "&amp;"Automation Anywhere (A360 o versiones anteriores).
Conocimiento en identificación, análisis y documentación de procesos susceptibles de automatización.
Manejo de buenas prácticas de desarrollo RPA: control de excepciones, reintentos y arquitecturas escala"&amp;"bles.
Experiencia integrando bots con bases de datos, APIs y aplicaciones empresariales.
Capacidad de trabajo autónomo, organizado y orientado a la resolución de problemas.
Contrato a término indefinido.
Oficina con propósito: sin esquema fijo, un espacio"&amp;" para generar conexiones de valor (Este item aplica solo para modalidad hibrida - Bogotá)
Ambiente joven y dinámico.
Participación en proyectos con clientes a nivel LATAM y diversas industrias.
Programas de capacitación y desarrollo.
Paquete de beneficios"&amp;": Auxilios académicos, Certificación con nuestros partners, alianza con Open English, Platzi, entre otros.
Salario a convenir.
Desarrollador Fullstack: Tu misión será diseñar y desarrollar soluciones tecnológicas robustas y escalables, participando en to"&amp;"do el ciclo de vida del desarrollo de software, desde el diseño hasta la implementación, garantizando la calidad técnica y el impacto real en los proyectos de nuestros clientes.
Profesional en Ingeniería de Sistemas, Software o carreras afines.
Experienci"&amp;"a mínima de 5 años en desarrollo Fullstack.
Dominio avanzado de tecnologías de backend y frontend (por ejemplo Java, Node.js, Angular, React, entre otros).
Manejo de bases de datos relacionales y no relacionales.
Experiencia en el diseño y consumo de APIs"&amp;" RESTful y arquitecturas de microservicios.
Conocimiento en metodologías ágiles (Scrum/Kanban) y buenas prácticas de control de versiones (Git).
Contrato a término indefinido.
Oficina con propósito: sin esquema fijo, un espacio para generar conexiones de "&amp;"valor (Este item aplica solo para modalidad hibrida - Bogotá)
Ambiente joven y dinámico.
Participación en proyectos con clientes a nivel LATAM y diversas industrias.
Programas de capacitación y desarrollo.
Paquete de beneficios: Auxilios académicos, Certi"&amp;"ficación con nuestros partners, alianza con Open English, Platzi, entre otros.
Salario a convenir.
Semillero de Intelgencia Artificial: Tu misión será dar tus primeros pasos en el mundo de la tecnología, aprendiendo y aportando en proyectos reales junto "&amp;"a un equipo experimentado, desarrollando tus habilidades técnicas y profesionales dentro de un ambiente dinámico y de constante aprendizaje.
Estudiante o recién egresado de Ingeniería de Sistemas, Software o carreras afines.
No se requiere experiencia pre"&amp;"via; se valorará el interés y la disposición para aprender.
Conocimientos básicos en programación, Java, Angular, Python bases de datos o automatización de procesos (deseable).
Actitud proactiva, capacidad de trabajo en equipo y ganas de crecer profesiona"&amp;"lmente.
Buena comunicación y compromiso con el aprendizaje continuo.
Contrato de aprendizaje / prácticas.
Oficina con propósito: sin esquema fijo, un espacio para generar conexiones de valor (Este item aplica solo para modalidad hibrida - Bogotá)
Ambiente"&amp;" joven y dinámico.
Acompañamiento y mentoría por parte de un equipo experimentado.
Programas de capacitación y desarrollo.
Salario: 1 SMLV.")</f>
        <v>Desarrollador de IA: Tu misión será diseñar, desarrollar e implementar soluciones basadas en inteligencia artificial que optimicen procesos y generen valor real para nuestros clientes, integrando modelos de IA generativa y machine learning en productos y automatizaciones de alto impacto. 
Profesional en Ingeniería de Sistemas, Software o carreras afines.
Experiencia mínima de 2 años desarrollando soluciones con inteligencia artificial, machine learning o modelos de lenguaje (LLMs).
Conocimiento en frameworks y librerías de IA como Python, LangChain, TensorFlow, PyTorch u otros similares.
Experiencia integrando APIs de modelos de IA generativa (OpenAI, Claude, entre otros) en aplicaciones y flujos de trabajo.
Manejo de buenas prácticas de desarrollo de software y control de versiones (Git).
Capacidad analítica para resolver problemas complejos y proponer soluciones innovadoras basadas en datos.
Contrato a término indefinido.
Oficina con propósito: sin esquema fijo, un espacio para generar conexiones de valor (Este item aplica solo para modalidad hibrida - Bogotá)
Ambiente joven y dinámico.
Participación en proyectos con clientes a nivel LATAM y diversas industrias.
Programas de capacitación y desarrollo.
Paquete de beneficios: Auxilios académicos, Certificación con nuestros partners, alianza con Open English, Platzi, entre otros.
Salario a convenir.
Desarrollador RPA (Automation Anywhere): Tu misión será diseñar, desarrollar e implementar automatizaciones robóticas de procesos (RPA) utilizando Automation Anywhere, optimizando la eficiencia operativa y generando soluciones escalables que aporten valor real a nuestros clientes.
Profesional en Ingeniería de Sistemas, Software o carreras afines.
Experiencia mínima de 3 años desarrollando automatizaciones con Automation Anywhere (A360 o versiones anteriores).
Conocimiento en identificación, análisis y documentación de procesos susceptibles de automatización.
Manejo de buenas prácticas de desarrollo RPA: control de excepciones, reintentos y arquitecturas escalables.
Experiencia integrando bots con bases de datos, APIs y aplicaciones empresariales.
Capacidad de trabajo autónomo, organizado y orientado a la resolución de problemas.
Contrato a término indefinido.
Oficina con propósito: sin esquema fijo, un espacio para generar conexiones de valor (Este item aplica solo para modalidad hibrida - Bogotá)
Ambiente joven y dinámico.
Participación en proyectos con clientes a nivel LATAM y diversas industrias.
Programas de capacitación y desarrollo.
Paquete de beneficios: Auxilios académicos, Certificación con nuestros partners, alianza con Open English, Platzi, entre otros.
Salario a convenir.
Desarrollador Fullstack: Tu misión será diseñar y desarrollar soluciones tecnológicas robustas y escalables, participando en todo el ciclo de vida del desarrollo de software, desde el diseño hasta la implementación, garantizando la calidad técnica y el impacto real en los proyectos de nuestros clientes.
Profesional en Ingeniería de Sistemas, Software o carreras afines.
Experiencia mínima de 5 años en desarrollo Fullstack.
Dominio avanzado de tecnologías de backend y frontend (por ejemplo Java, Node.js, Angular, React, entre otros).
Manejo de bases de datos relacionales y no relacionales.
Experiencia en el diseño y consumo de APIs RESTful y arquitecturas de microservicios.
Conocimiento en metodologías ágiles (Scrum/Kanban) y buenas prácticas de control de versiones (Git).
Contrato a término indefinido.
Oficina con propósito: sin esquema fijo, un espacio para generar conexiones de valor (Este item aplica solo para modalidad hibrida - Bogotá)
Ambiente joven y dinámico.
Participación en proyectos con clientes a nivel LATAM y diversas industrias.
Programas de capacitación y desarrollo.
Paquete de beneficios: Auxilios académicos, Certificación con nuestros partners, alianza con Open English, Platzi, entre otros.
Salario a convenir.
Semillero de Intelgencia Artificial: Tu misión será dar tus primeros pasos en el mundo de la tecnología, aprendiendo y aportando en proyectos reales junto a un equipo experimentado, desarrollando tus habilidades técnicas y profesionales dentro de un ambiente dinámico y de constante aprendizaje.
Estudiante o recién egresado de Ingeniería de Sistemas, Software o carreras afines.
No se requiere experiencia previa; se valorará el interés y la disposición para aprender.
Conocimientos básicos en programación, Java, Angular, Python bases de datos o automatización de procesos (deseable).
Actitud proactiva, capacidad de trabajo en equipo y ganas de crecer profesionalmente.
Buena comunicación y compromiso con el aprendizaje continuo.
Contrato de aprendizaje / prácticas.
Oficina con propósito: sin esquema fijo, un espacio para generar conexiones de valor (Este item aplica solo para modalidad hibrida - Bogotá)
Ambiente joven y dinámico.
Acompañamiento y mentoría por parte de un equipo experimentado.
Programas de capacitación y desarrollo.
Salario: 1 SMLV.</v>
      </c>
      <c r="E70" s="7" t="str">
        <f>IFERROR(__xludf.DUMMYFUNCTION("""COMPUTED_VALUE"""),"Si")</f>
        <v>Si</v>
      </c>
      <c r="F70" s="6" t="str">
        <f>IFERROR(__xludf.DUMMYFUNCTION("""COMPUTED_VALUE"""),"Bogotá (Chia, Cota, Sopó, Cajicá y alrededores)")</f>
        <v>Bogotá (Chia, Cota, Sopó, Cajicá y alrededores)</v>
      </c>
      <c r="G70" s="6" t="str">
        <f>IFERROR(__xludf.DUMMYFUNCTION("""COMPUTED_VALUE"""),"Comercio Internacional, Administración de Empresas Virtual, Ingeniería Industrial, Ingeniería de Sistemas")</f>
        <v>Comercio Internacional, Administración de Empresas Virtual, Ingeniería Industrial, Ingeniería de Sistemas</v>
      </c>
      <c r="H70" s="6" t="str">
        <f>IFERROR(__xludf.DUMMYFUNCTION("""COMPUTED_VALUE"""),"De 1 SMMLV a 2 SMMLV")</f>
        <v>De 1 SMMLV a 2 SMMLV</v>
      </c>
      <c r="I70" s="8">
        <f>IFERROR(__xludf.DUMMYFUNCTION("""COMPUTED_VALUE"""),46266.0)</f>
        <v>46266</v>
      </c>
      <c r="J70" s="8">
        <f>IFERROR(__xludf.DUMMYFUNCTION("""COMPUTED_VALUE"""),46356.0)</f>
        <v>46356</v>
      </c>
      <c r="K70" s="7" t="str">
        <f>IFERROR(__xludf.DUMMYFUNCTION("""COMPUTED_VALUE"""),"mariana.sanchez@trycore.com")</f>
        <v>mariana.sanchez@trycore.com</v>
      </c>
      <c r="L70" s="3"/>
      <c r="M70" s="3"/>
      <c r="N70" s="3"/>
      <c r="O70" s="3"/>
      <c r="P70" s="3"/>
      <c r="Q70" s="3"/>
      <c r="R70" s="3"/>
      <c r="S70" s="3"/>
      <c r="T70" s="3"/>
      <c r="U70" s="3"/>
      <c r="V70" s="3"/>
      <c r="W70" s="3"/>
      <c r="X70" s="3"/>
      <c r="Y70" s="3"/>
    </row>
    <row r="71">
      <c r="A71" s="6" t="str">
        <f>IFERROR(__xludf.DUMMYFUNCTION("""COMPUTED_VALUE"""),"SOLUCIONES OMEGA SA")</f>
        <v>SOLUCIONES OMEGA SA</v>
      </c>
      <c r="B71" s="6" t="str">
        <f>IFERROR(__xludf.DUMMYFUNCTION("""COMPUTED_VALUE"""),"Ciclo tecnológico, Ciclo profesional")</f>
        <v>Ciclo tecnológico, Ciclo profesional</v>
      </c>
      <c r="C71" s="6" t="str">
        <f>IFERROR(__xludf.DUMMYFUNCTION("""COMPUTED_VALUE"""),"Tecnología en Mecánica Industrial, Tecnología en Mecánica Automotriz, Tecnología en Gestión de Procesos Industriales, Tecnología en Gestión Ambiental")</f>
        <v>Tecnología en Mecánica Industrial, Tecnología en Mecánica Automotriz, Tecnología en Gestión de Procesos Industriales, Tecnología en Gestión Ambiental</v>
      </c>
      <c r="D71" s="6" t="str">
        <f>IFERROR(__xludf.DUMMYFUNCTION("""COMPUTED_VALUE"""),"Somos Soluciones Omega una empresa BPO del sector alimentos, dedicada a la fabricación de galletería de helados, proceso de empaque y logística de productos terminados, que presta sus servicios a empresas como Alpina, Pepsico, Ramo, Popsy, Gloria de Colom"&amp;"bia… entre otras. Nuestra empresa se encuentra ubicada en el Parque Industrial San Jorge, vía Madrid- Mosquera.
Estamos en busca de aprendices técnicos o tecnólogos y practicantes universitarios en las siguientes áreas:
Mecatrónica, Mantenimiento, eléctr"&amp;"ica, automatización 
Química, Calidad, Agroindustrial, Ambiental
Administración de empresas, Contabilidad, Nómina, Finanzas
Recursos humanos, Gestión documental, Seguridad y salud en el trabajo, Psicología
Sistemas, Análisis y desarrollo de software, mult"&amp;"imedia y afines 
Logística, Mercadeo y Ventas
Horarios: Lunes a Jueves 7:00 AM - 5:00 PM y viernes de 7 a 1:00 p.m
BENEFICIOS: todo lo de ley
")</f>
        <v>Somos Soluciones Omega una empresa BPO del sector alimentos, dedicada a la fabricación de galletería de helados, proceso de empaque y logística de productos terminados, que presta sus servicios a empresas como Alpina, Pepsico, Ramo, Popsy, Gloria de Colombia… entre otras. Nuestra empresa se encuentra ubicada en el Parque Industrial San Jorge, vía Madrid- Mosquera.
Estamos en busca de aprendices técnicos o tecnólogos y practicantes universitarios en las siguientes áreas:
Mecatrónica, Mantenimiento, eléctrica, automatización 
Química, Calidad, Agroindustrial, Ambiental
Administración de empresas, Contabilidad, Nómina, Finanzas
Recursos humanos, Gestión documental, Seguridad y salud en el trabajo, Psicología
Sistemas, Análisis y desarrollo de software, multimedia y afines 
Logística, Mercadeo y Ventas
Horarios: Lunes a Jueves 7:00 AM - 5:00 PM y viernes de 7 a 1:00 p.m
BENEFICIOS: todo lo de ley
</v>
      </c>
      <c r="E71" s="7" t="str">
        <f>IFERROR(__xludf.DUMMYFUNCTION("""COMPUTED_VALUE"""),"Si")</f>
        <v>Si</v>
      </c>
      <c r="F71" s="6" t="str">
        <f>IFERROR(__xludf.DUMMYFUNCTION("""COMPUTED_VALUE"""),"Otro")</f>
        <v>Otro</v>
      </c>
      <c r="G71" s="6" t="str">
        <f>IFERROR(__xludf.DUMMYFUNCTION("""COMPUTED_VALUE"""),"Contaduría Pública, Administración de Empresas Virtual, Ingeniería Mecatrónica, Ingeniería Mecánica, Ingeniería Industrial, Ingeniería Ambiental")</f>
        <v>Contaduría Pública, Administración de Empresas Virtual, Ingeniería Mecatrónica, Ingeniería Mecánica, Ingeniería Industrial, Ingeniería Ambiental</v>
      </c>
      <c r="H71" s="6" t="str">
        <f>IFERROR(__xludf.DUMMYFUNCTION("""COMPUTED_VALUE"""),"1 SMMLV")</f>
        <v>1 SMMLV</v>
      </c>
      <c r="I71" s="8">
        <f>IFERROR(__xludf.DUMMYFUNCTION("""COMPUTED_VALUE"""),46268.0)</f>
        <v>46268</v>
      </c>
      <c r="J71" s="8">
        <f>IFERROR(__xludf.DUMMYFUNCTION("""COMPUTED_VALUE"""),46295.0)</f>
        <v>46295</v>
      </c>
      <c r="K71" s="7" t="str">
        <f>IFERROR(__xludf.DUMMYFUNCTION("""COMPUTED_VALUE"""),"seleccion@solucionesomega.net")</f>
        <v>seleccion@solucionesomega.net</v>
      </c>
      <c r="L71" s="3"/>
      <c r="M71" s="3"/>
      <c r="N71" s="3"/>
      <c r="O71" s="3"/>
      <c r="P71" s="3"/>
      <c r="Q71" s="3"/>
      <c r="R71" s="3"/>
      <c r="S71" s="3"/>
      <c r="T71" s="3"/>
      <c r="U71" s="3"/>
      <c r="V71" s="3"/>
      <c r="W71" s="3"/>
      <c r="X71" s="3"/>
      <c r="Y71" s="3"/>
    </row>
    <row r="72">
      <c r="A72" s="6" t="str">
        <f>IFERROR(__xludf.DUMMYFUNCTION("""COMPUTED_VALUE"""),"MUNDIAL DE REPUESTOS DE MOTOS S.A.S")</f>
        <v>MUNDIAL DE REPUESTOS DE MOTOS S.A.S</v>
      </c>
      <c r="B72" s="6" t="str">
        <f>IFERROR(__xludf.DUMMYFUNCTION("""COMPUTED_VALUE"""),"Ciclo profesional")</f>
        <v>Ciclo profesional</v>
      </c>
      <c r="C72" s="6" t="str">
        <f>IFERROR(__xludf.DUMMYFUNCTION("""COMPUTED_VALUE"""),"No aplica")</f>
        <v>No aplica</v>
      </c>
      <c r="D72" s="6" t="str">
        <f>IFERROR(__xludf.DUMMYFUNCTION("""COMPUTED_VALUE"""),"Contribuir a la mejora continua de los procesos logísticos en el almacén y la cadena de suministro, aplicando conocimientos teóricos y prácticos de Ingeniería para garantizar eficiencia, calidad y sostenibilidad en las operaciones.")</f>
        <v>Contribuir a la mejora continua de los procesos logísticos en el almacén y la cadena de suministro, aplicando conocimientos teóricos y prácticos de Ingeniería para garantizar eficiencia, calidad y sostenibilidad en las operaciones.</v>
      </c>
      <c r="E72" s="7" t="str">
        <f>IFERROR(__xludf.DUMMYFUNCTION("""COMPUTED_VALUE"""),"Si")</f>
        <v>Si</v>
      </c>
      <c r="F72" s="6" t="str">
        <f>IFERROR(__xludf.DUMMYFUNCTION("""COMPUTED_VALUE"""),"Medellín")</f>
        <v>Medellín</v>
      </c>
      <c r="G72" s="6" t="str">
        <f>IFERROR(__xludf.DUMMYFUNCTION("""COMPUTED_VALUE"""),"Ingeniería Industrial")</f>
        <v>Ingeniería Industrial</v>
      </c>
      <c r="H72" s="6" t="str">
        <f>IFERROR(__xludf.DUMMYFUNCTION("""COMPUTED_VALUE"""),"1 SMMLV")</f>
        <v>1 SMMLV</v>
      </c>
      <c r="I72" s="8">
        <f>IFERROR(__xludf.DUMMYFUNCTION("""COMPUTED_VALUE"""),46267.0)</f>
        <v>46267</v>
      </c>
      <c r="J72" s="8">
        <f>IFERROR(__xludf.DUMMYFUNCTION("""COMPUTED_VALUE"""),46296.0)</f>
        <v>46296</v>
      </c>
      <c r="K72" s="7" t="str">
        <f>IFERROR(__xludf.DUMMYFUNCTION("""COMPUTED_VALUE"""),"auxiliarseleccion@mundimotos.com")</f>
        <v>auxiliarseleccion@mundimotos.com</v>
      </c>
      <c r="L72" s="3"/>
      <c r="M72" s="3"/>
      <c r="N72" s="3"/>
      <c r="O72" s="3"/>
      <c r="P72" s="3"/>
      <c r="Q72" s="3"/>
      <c r="R72" s="3"/>
      <c r="S72" s="3"/>
      <c r="T72" s="3"/>
      <c r="U72" s="3"/>
      <c r="V72" s="3"/>
      <c r="W72" s="3"/>
      <c r="X72" s="3"/>
      <c r="Y72" s="3"/>
    </row>
    <row r="73">
      <c r="A73" s="6" t="str">
        <f>IFERROR(__xludf.DUMMYFUNCTION("""COMPUTED_VALUE"""),"APPGATE")</f>
        <v>APPGATE</v>
      </c>
      <c r="B73" s="6" t="str">
        <f>IFERROR(__xludf.DUMMYFUNCTION("""COMPUTED_VALUE"""),"Ciclo tecnológico, Ciclo profesional")</f>
        <v>Ciclo tecnológico, Ciclo profesional</v>
      </c>
      <c r="C73" s="6" t="str">
        <f>IFERROR(__xludf.DUMMYFUNCTION("""COMPUTED_VALUE"""),"Tecnología en Gestión Ambiental")</f>
        <v>Tecnología en Gestión Ambiental</v>
      </c>
      <c r="D73" s="6" t="str">
        <f>IFERROR(__xludf.DUMMYFUNCTION("""COMPUTED_VALUE"""),"La persona apoyará las actividades relacionadas con el Sistema de Gestión Ambiental (SGA), incluyendo seguimiento a programas e indicadores ambientales, gestión documental, elaboración de informes, gestión de residuos, apoyo en auditorías y campañas de se"&amp;"nsibilización, así como iniciativas orientadas al cumplimiento de los objetivos ambientales y la mejora continua de la organización.")</f>
        <v>La persona apoyará las actividades relacionadas con el Sistema de Gestión Ambiental (SGA), incluyendo seguimiento a programas e indicadores ambientales, gestión documental, elaboración de informes, gestión de residuos, apoyo en auditorías y campañas de sensibilización, así como iniciativas orientadas al cumplimiento de los objetivos ambientales y la mejora continua de la organización.</v>
      </c>
      <c r="E73" s="7" t="str">
        <f>IFERROR(__xludf.DUMMYFUNCTION("""COMPUTED_VALUE"""),"Si")</f>
        <v>Si</v>
      </c>
      <c r="F73" s="6" t="str">
        <f>IFERROR(__xludf.DUMMYFUNCTION("""COMPUTED_VALUE"""),"Bogotá (Chia, Cota, Sopó, Cajicá y alrededores)")</f>
        <v>Bogotá (Chia, Cota, Sopó, Cajicá y alrededores)</v>
      </c>
      <c r="G73" s="6" t="str">
        <f>IFERROR(__xludf.DUMMYFUNCTION("""COMPUTED_VALUE"""),"Ingeniería Ambiental")</f>
        <v>Ingeniería Ambiental</v>
      </c>
      <c r="H73" s="6" t="str">
        <f>IFERROR(__xludf.DUMMYFUNCTION("""COMPUTED_VALUE"""),"1 SMMLV")</f>
        <v>1 SMMLV</v>
      </c>
      <c r="I73" s="8">
        <f>IFERROR(__xludf.DUMMYFUNCTION("""COMPUTED_VALUE"""),46267.0)</f>
        <v>46267</v>
      </c>
      <c r="J73" s="8">
        <f>IFERROR(__xludf.DUMMYFUNCTION("""COMPUTED_VALUE"""),46294.0)</f>
        <v>46294</v>
      </c>
      <c r="K73" s="7" t="str">
        <f>IFERROR(__xludf.DUMMYFUNCTION("""COMPUTED_VALUE"""),"paola.gomez@appgate.com")</f>
        <v>paola.gomez@appgate.com</v>
      </c>
      <c r="L73" s="3"/>
      <c r="M73" s="3"/>
      <c r="N73" s="3"/>
      <c r="O73" s="3"/>
      <c r="P73" s="3"/>
      <c r="Q73" s="3"/>
      <c r="R73" s="3"/>
      <c r="S73" s="3"/>
      <c r="T73" s="3"/>
      <c r="U73" s="3"/>
      <c r="V73" s="3"/>
      <c r="W73" s="3"/>
      <c r="X73" s="3"/>
      <c r="Y73" s="3"/>
    </row>
    <row r="74">
      <c r="A74" s="6" t="str">
        <f>IFERROR(__xludf.DUMMYFUNCTION("""COMPUTED_VALUE"""),"RAMA JUDICIAL (JUZGADO TERCERO PENAL DEL CIRCUITO DE SOACHA)")</f>
        <v>RAMA JUDICIAL (JUZGADO TERCERO PENAL DEL CIRCUITO DE SOACHA)</v>
      </c>
      <c r="B74" s="6" t="str">
        <f>IFERROR(__xludf.DUMMYFUNCTION("""COMPUTED_VALUE"""),"Ciclo profesional")</f>
        <v>Ciclo profesional</v>
      </c>
      <c r="C74" s="6" t="str">
        <f>IFERROR(__xludf.DUMMYFUNCTION("""COMPUTED_VALUE"""),"No aplica")</f>
        <v>No aplica</v>
      </c>
      <c r="D74" s="6" t="str">
        <f>IFERROR(__xludf.DUMMYFUNCTION("""COMPUTED_VALUE"""),"Juzgado tercero penal de circuito de Soacha (Cundinamarca), vinculación como pasante  o judicante por 6 meses, como practica por 4 meses. el enfoque de la practica consiste en fortalecer los conocimientos dne derecho prcoesal penal, derecho penal especial"&amp;" y derecho constitucional. Las funciones implican, notificaciones, apoyo administrativo y logistico para la realización de audiencia, redacción de etapas interlocutorias en tramites constitucionales y redacción en tutelas. los horarios son a convenir, la "&amp;"modalidad es mixta. El lugar de trabajo es en el palacio de justicia de Soacha.")</f>
        <v>Juzgado tercero penal de circuito de Soacha (Cundinamarca), vinculación como pasante  o judicante por 6 meses, como practica por 4 meses. el enfoque de la practica consiste en fortalecer los conocimientos dne derecho prcoesal penal, derecho penal especial y derecho constitucional. Las funciones implican, notificaciones, apoyo administrativo y logistico para la realización de audiencia, redacción de etapas interlocutorias en tramites constitucionales y redacción en tutelas. los horarios son a convenir, la modalidad es mixta. El lugar de trabajo es en el palacio de justicia de Soacha.</v>
      </c>
      <c r="E74" s="7" t="str">
        <f>IFERROR(__xludf.DUMMYFUNCTION("""COMPUTED_VALUE"""),"Si")</f>
        <v>Si</v>
      </c>
      <c r="F74" s="6" t="str">
        <f>IFERROR(__xludf.DUMMYFUNCTION("""COMPUTED_VALUE"""),"Bogotá (Chia, Cota, Sopó, Cajicá y alrededores)")</f>
        <v>Bogotá (Chia, Cota, Sopó, Cajicá y alrededores)</v>
      </c>
      <c r="G74" s="6" t="str">
        <f>IFERROR(__xludf.DUMMYFUNCTION("""COMPUTED_VALUE"""),"Derecho")</f>
        <v>Derecho</v>
      </c>
      <c r="H74" s="6" t="str">
        <f>IFERROR(__xludf.DUMMYFUNCTION("""COMPUTED_VALUE"""),"Menos de 1 SMMLV")</f>
        <v>Menos de 1 SMMLV</v>
      </c>
      <c r="I74" s="8">
        <f>IFERROR(__xludf.DUMMYFUNCTION("""COMPUTED_VALUE"""),46266.0)</f>
        <v>46266</v>
      </c>
      <c r="J74" s="8">
        <f>IFERROR(__xludf.DUMMYFUNCTION("""COMPUTED_VALUE"""),46295.0)</f>
        <v>46295</v>
      </c>
      <c r="K74" s="7" t="str">
        <f>IFERROR(__xludf.DUMMYFUNCTION("""COMPUTED_VALUE"""),"j03pctofcsoacha@cendoj.ramajudicial.gov.co")</f>
        <v>j03pctofcsoacha@cendoj.ramajudicial.gov.co</v>
      </c>
      <c r="L74" s="3"/>
      <c r="M74" s="3"/>
      <c r="N74" s="3"/>
      <c r="O74" s="3"/>
      <c r="P74" s="3"/>
      <c r="Q74" s="3"/>
      <c r="R74" s="3"/>
      <c r="S74" s="3"/>
      <c r="T74" s="3"/>
      <c r="U74" s="3"/>
      <c r="V74" s="3"/>
      <c r="W74" s="3"/>
      <c r="X74" s="3"/>
      <c r="Y74" s="3"/>
    </row>
    <row r="75">
      <c r="A75" s="6" t="str">
        <f>IFERROR(__xludf.DUMMYFUNCTION("""COMPUTED_VALUE"""),"COMESTIBES DAN ")</f>
        <v>COMESTIBES DAN </v>
      </c>
      <c r="B75" s="6" t="str">
        <f>IFERROR(__xludf.DUMMYFUNCTION("""COMPUTED_VALUE"""),"Ciclo tecnológico")</f>
        <v>Ciclo tecnológico</v>
      </c>
      <c r="C75" s="6" t="str">
        <f>IFERROR(__xludf.DUMMYFUNCTION("""COMPUTED_VALUE"""),"Tecnología en Mercadeo y Diseño Publicitario, Tecnología en Gestión Contable, Tecnología en Gestión de Procesos Industriales, Tecnología en Electrónica Industrial")</f>
        <v>Tecnología en Mercadeo y Diseño Publicitario, Tecnología en Gestión Contable, Tecnología en Gestión de Procesos Industriales, Tecnología en Electrónica Industrial</v>
      </c>
      <c r="D75" s="6" t="str">
        <f>IFERROR(__xludf.DUMMYFUNCTION("""COMPUTED_VALUE"""),"Practicante Tecnólogo en Procesos Industriales
En Comestibles Dan, empresa dedicada a la fabricación y comercialización de productos cárnicos, nos encontramos en la búsqueda de un practicante de Tecnología en Procesos Industriales para apoyar los proceso"&amp;"s de mejora continua en nuestras plantas de producción.
Funciones principales:
Realizar estudios de métodos y tiempos en los procesos productivos.
Apoyar el análisis y seguimiento de la capacidad de producción.
Actualizar bases de datos e indicadores de"&amp;" gestión del área.
Identificar oportunidades de mejora en los procesos operativos.
Apoyar la implementación y seguimiento de acciones orientadas a incrementar la productividad y eficiencia.
Perfil requerido:
Estudiante de Tecnología en Procesos Industri"&amp;"ales o carreras afines.
Habilidad para el análisis de información y manejo de herramientas ofimáticas.
Interés en procesos productivos, mejora continua y optimización de operaciones.
Actitud proactiva, capacidad de aprendizaje y trabajo en equipo.")</f>
        <v>Practicante Tecnólogo en Procesos Industriales
En Comestibles Dan, empresa dedicada a la fabricación y comercialización de productos cárnicos, nos encontramos en la búsqueda de un practicante de Tecnología en Procesos Industriales para apoyar los procesos de mejora continua en nuestras plantas de producción.
Funciones principales:
Realizar estudios de métodos y tiempos en los procesos productivos.
Apoyar el análisis y seguimiento de la capacidad de producción.
Actualizar bases de datos e indicadores de gestión del área.
Identificar oportunidades de mejora en los procesos operativos.
Apoyar la implementación y seguimiento de acciones orientadas a incrementar la productividad y eficiencia.
Perfil requerido:
Estudiante de Tecnología en Procesos Industriales o carreras afines.
Habilidad para el análisis de información y manejo de herramientas ofimáticas.
Interés en procesos productivos, mejora continua y optimización de operaciones.
Actitud proactiva, capacidad de aprendizaje y trabajo en equipo.</v>
      </c>
      <c r="E75" s="7" t="str">
        <f>IFERROR(__xludf.DUMMYFUNCTION("""COMPUTED_VALUE"""),"Si")</f>
        <v>Si</v>
      </c>
      <c r="F75" s="6" t="str">
        <f>IFERROR(__xludf.DUMMYFUNCTION("""COMPUTED_VALUE"""),"Medellín")</f>
        <v>Medellín</v>
      </c>
      <c r="G75" s="6" t="str">
        <f>IFERROR(__xludf.DUMMYFUNCTION("""COMPUTED_VALUE"""),"Mercadeo y Publicidad, Contaduría Pública, Ingeniería Industrial, Ingeniería Electrónica")</f>
        <v>Mercadeo y Publicidad, Contaduría Pública, Ingeniería Industrial, Ingeniería Electrónica</v>
      </c>
      <c r="H75" s="6" t="str">
        <f>IFERROR(__xludf.DUMMYFUNCTION("""COMPUTED_VALUE"""),"1 SMMLV")</f>
        <v>1 SMMLV</v>
      </c>
      <c r="I75" s="8">
        <f>IFERROR(__xludf.DUMMYFUNCTION("""COMPUTED_VALUE"""),46268.0)</f>
        <v>46268</v>
      </c>
      <c r="J75" s="8">
        <f>IFERROR(__xludf.DUMMYFUNCTION("""COMPUTED_VALUE"""),46295.0)</f>
        <v>46295</v>
      </c>
      <c r="K75" s="7" t="str">
        <f>IFERROR(__xludf.DUMMYFUNCTION("""COMPUTED_VALUE"""),"luisa.lopez@comestiblesdan.com")</f>
        <v>luisa.lopez@comestiblesdan.com</v>
      </c>
      <c r="L75" s="3"/>
      <c r="M75" s="3"/>
      <c r="N75" s="3"/>
      <c r="O75" s="3"/>
      <c r="P75" s="3"/>
      <c r="Q75" s="3"/>
      <c r="R75" s="3"/>
      <c r="S75" s="3"/>
      <c r="T75" s="3"/>
      <c r="U75" s="3"/>
      <c r="V75" s="3"/>
      <c r="W75" s="3"/>
      <c r="X75" s="3"/>
      <c r="Y75" s="3"/>
    </row>
    <row r="76">
      <c r="A76" s="6" t="str">
        <f>IFERROR(__xludf.DUMMYFUNCTION("""COMPUTED_VALUE"""),"REPUESTOS RIMAR SAS")</f>
        <v>REPUESTOS RIMAR SAS</v>
      </c>
      <c r="B76" s="6" t="str">
        <f>IFERROR(__xludf.DUMMYFUNCTION("""COMPUTED_VALUE"""),"Ciclo tecnológico, Ciclo profesional")</f>
        <v>Ciclo tecnológico, Ciclo profesional</v>
      </c>
      <c r="C76" s="6" t="str">
        <f>IFERROR(__xludf.DUMMYFUNCTION("""COMPUTED_VALUE"""),"Tecnología en Mecánica Automotriz")</f>
        <v>Tecnología en Mecánica Automotriz</v>
      </c>
      <c r="D76" s="6" t="str">
        <f>IFERROR(__xludf.DUMMYFUNCTION("""COMPUTED_VALUE"""),"Empresa en el sector autopartista requiere para su equipo de ventas , hombre en proceso de formacion o egresado para apoyar el area comercial en el punto de venta.")</f>
        <v>Empresa en el sector autopartista requiere para su equipo de ventas , hombre en proceso de formacion o egresado para apoyar el area comercial en el punto de venta.</v>
      </c>
      <c r="E76" s="7" t="str">
        <f>IFERROR(__xludf.DUMMYFUNCTION("""COMPUTED_VALUE"""),"Si")</f>
        <v>Si</v>
      </c>
      <c r="F76" s="6" t="str">
        <f>IFERROR(__xludf.DUMMYFUNCTION("""COMPUTED_VALUE"""),"Bogotá (Chia, Cota, Sopó, Cajicá y alrededores)")</f>
        <v>Bogotá (Chia, Cota, Sopó, Cajicá y alrededores)</v>
      </c>
      <c r="G76" s="6" t="str">
        <f>IFERROR(__xludf.DUMMYFUNCTION("""COMPUTED_VALUE"""),"Ingeniería Mecánica")</f>
        <v>Ingeniería Mecánica</v>
      </c>
      <c r="H76" s="6" t="str">
        <f>IFERROR(__xludf.DUMMYFUNCTION("""COMPUTED_VALUE"""),"De 1 SMMLV a 2 SMMLV")</f>
        <v>De 1 SMMLV a 2 SMMLV</v>
      </c>
      <c r="I76" s="8">
        <f>IFERROR(__xludf.DUMMYFUNCTION("""COMPUTED_VALUE"""),46268.0)</f>
        <v>46268</v>
      </c>
      <c r="J76" s="8">
        <f>IFERROR(__xludf.DUMMYFUNCTION("""COMPUTED_VALUE"""),46295.0)</f>
        <v>46295</v>
      </c>
      <c r="K76" s="7" t="str">
        <f>IFERROR(__xludf.DUMMYFUNCTION("""COMPUTED_VALUE"""),"compras@repuestosrimar.com")</f>
        <v>compras@repuestosrimar.com</v>
      </c>
      <c r="L76" s="3"/>
      <c r="M76" s="3"/>
      <c r="N76" s="3"/>
      <c r="O76" s="3"/>
      <c r="P76" s="3"/>
      <c r="Q76" s="3"/>
      <c r="R76" s="3"/>
      <c r="S76" s="3"/>
      <c r="T76" s="3"/>
      <c r="U76" s="3"/>
      <c r="V76" s="3"/>
      <c r="W76" s="3"/>
      <c r="X76" s="3"/>
      <c r="Y76" s="3"/>
    </row>
    <row r="77">
      <c r="A77" s="6" t="str">
        <f>IFERROR(__xludf.DUMMYFUNCTION("""COMPUTED_VALUE"""),"RANSA COLOMBIA SAS")</f>
        <v>RANSA COLOMBIA SAS</v>
      </c>
      <c r="B77" s="6" t="str">
        <f>IFERROR(__xludf.DUMMYFUNCTION("""COMPUTED_VALUE"""),"Ciclo tecnológico, Ciclo profesional")</f>
        <v>Ciclo tecnológico, Ciclo profesional</v>
      </c>
      <c r="C77" s="6" t="str">
        <f>IFERROR(__xludf.DUMMYFUNCTION("""COMPUTED_VALUE"""),"Tecnología en Gestión Contable, Tecnología en Mecánica Industrial, Tecnología en Gestión de Procesos Industriales, Tecnología en Electrónica Industrial, Tecnología en Desarrollo Informático, Tecnología en Gestión Ambiental")</f>
        <v>Tecnología en Gestión Contable, Tecnología en Mecánica Industrial, Tecnología en Gestión de Procesos Industriales, Tecnología en Electrónica Industrial, Tecnología en Desarrollo Informático, Tecnología en Gestión Ambiental</v>
      </c>
      <c r="D77" s="6" t="str">
        <f>IFERROR(__xludf.DUMMYFUNCTION("""COMPUTED_VALUE"""),"Somos una empresa de logistica y transporte y estamos interesados en vincular por medio de contrato de aprendizaje a estudiantes para su practica productiva en areas administrativas, rh, calidad, mtto industrial, derecho, logistica y transporte")</f>
        <v>Somos una empresa de logistica y transporte y estamos interesados en vincular por medio de contrato de aprendizaje a estudiantes para su practica productiva en areas administrativas, rh, calidad, mtto industrial, derecho, logistica y transporte</v>
      </c>
      <c r="E77" s="7" t="str">
        <f>IFERROR(__xludf.DUMMYFUNCTION("""COMPUTED_VALUE"""),"No")</f>
        <v>No</v>
      </c>
      <c r="F77" s="6" t="str">
        <f>IFERROR(__xludf.DUMMYFUNCTION("""COMPUTED_VALUE"""),"Bogotá (Chia, Cota, Sopó, Cajicá y alrededores)")</f>
        <v>Bogotá (Chia, Cota, Sopó, Cajicá y alrededores)</v>
      </c>
      <c r="G77" s="6" t="str">
        <f>IFERROR(__xludf.DUMMYFUNCTION("""COMPUTED_VALUE"""),"Contaduría Pública, Administración de Empresas Virtual, Derecho, Ingeniería Industrial, Ingeniería de Sistemas, Ingeniería Ambiental")</f>
        <v>Contaduría Pública, Administración de Empresas Virtual, Derecho, Ingeniería Industrial, Ingeniería de Sistemas, Ingeniería Ambiental</v>
      </c>
      <c r="H77" s="6" t="str">
        <f>IFERROR(__xludf.DUMMYFUNCTION("""COMPUTED_VALUE"""),"1 SMMLV")</f>
        <v>1 SMMLV</v>
      </c>
      <c r="I77" s="8">
        <f>IFERROR(__xludf.DUMMYFUNCTION("""COMPUTED_VALUE"""),46268.0)</f>
        <v>46268</v>
      </c>
      <c r="J77" s="8">
        <f>IFERROR(__xludf.DUMMYFUNCTION("""COMPUTED_VALUE"""),46751.0)</f>
        <v>46751</v>
      </c>
      <c r="K77" s="7" t="str">
        <f>IFERROR(__xludf.DUMMYFUNCTION("""COMPUTED_VALUE"""),"cosoriol@ransa.net")</f>
        <v>cosoriol@ransa.net</v>
      </c>
      <c r="L77" s="3"/>
      <c r="M77" s="3"/>
      <c r="N77" s="3"/>
      <c r="O77" s="3"/>
      <c r="P77" s="3"/>
      <c r="Q77" s="3"/>
      <c r="R77" s="3"/>
      <c r="S77" s="3"/>
      <c r="T77" s="3"/>
      <c r="U77" s="3"/>
      <c r="V77" s="3"/>
      <c r="W77" s="3"/>
      <c r="X77" s="3"/>
      <c r="Y77" s="3"/>
    </row>
    <row r="78">
      <c r="A78" s="6" t="str">
        <f>IFERROR(__xludf.DUMMYFUNCTION("""COMPUTED_VALUE"""),"METROLOGICAL CENTER S.A.S.")</f>
        <v>METROLOGICAL CENTER S.A.S.</v>
      </c>
      <c r="B78" s="6" t="str">
        <f>IFERROR(__xludf.DUMMYFUNCTION("""COMPUTED_VALUE"""),"Ciclo tecnológico")</f>
        <v>Ciclo tecnológico</v>
      </c>
      <c r="C78" s="6" t="str">
        <f>IFERROR(__xludf.DUMMYFUNCTION("""COMPUTED_VALUE"""),"Tecnología en Gestión Contable")</f>
        <v>Tecnología en Gestión Contable</v>
      </c>
      <c r="D78" s="6" t="str">
        <f>IFERROR(__xludf.DUMMYFUNCTION("""COMPUTED_VALUE"""),"Laboratorio de Calibración requiere para su equipo de trabajo mujeres para desempeñar el cargo de Asistente Contable con el objetivo de apoyar el proceso contable en la causación de facturas, legalizaciones, caja menor, rendimientos, medios magnéticos, co"&amp;"nciliación de cuentas.")</f>
        <v>Laboratorio de Calibración requiere para su equipo de trabajo mujeres para desempeñar el cargo de Asistente Contable con el objetivo de apoyar el proceso contable en la causación de facturas, legalizaciones, caja menor, rendimientos, medios magnéticos, conciliación de cuentas.</v>
      </c>
      <c r="E78" s="7" t="str">
        <f>IFERROR(__xludf.DUMMYFUNCTION("""COMPUTED_VALUE"""),"Si")</f>
        <v>Si</v>
      </c>
      <c r="F78" s="6" t="str">
        <f>IFERROR(__xludf.DUMMYFUNCTION("""COMPUTED_VALUE"""),"Bogotá (Chia, Cota, Sopó, Cajicá y alrededores)")</f>
        <v>Bogotá (Chia, Cota, Sopó, Cajicá y alrededores)</v>
      </c>
      <c r="G78" s="6" t="str">
        <f>IFERROR(__xludf.DUMMYFUNCTION("""COMPUTED_VALUE"""),"Contaduría Pública, Administración de Empresas Virtual")</f>
        <v>Contaduría Pública, Administración de Empresas Virtual</v>
      </c>
      <c r="H78" s="6" t="str">
        <f>IFERROR(__xludf.DUMMYFUNCTION("""COMPUTED_VALUE"""),"1 SMMLV")</f>
        <v>1 SMMLV</v>
      </c>
      <c r="I78" s="8">
        <f>IFERROR(__xludf.DUMMYFUNCTION("""COMPUTED_VALUE"""),46268.0)</f>
        <v>46268</v>
      </c>
      <c r="J78" s="8">
        <f>IFERROR(__xludf.DUMMYFUNCTION("""COMPUTED_VALUE"""),46295.0)</f>
        <v>46295</v>
      </c>
      <c r="K78" s="7" t="str">
        <f>IFERROR(__xludf.DUMMYFUNCTION("""COMPUTED_VALUE"""),"calidad@metrologicalcenter.com")</f>
        <v>calidad@metrologicalcenter.com</v>
      </c>
      <c r="L78" s="3"/>
      <c r="M78" s="3"/>
      <c r="N78" s="3"/>
      <c r="O78" s="3"/>
      <c r="P78" s="3"/>
      <c r="Q78" s="3"/>
      <c r="R78" s="3"/>
      <c r="S78" s="3"/>
      <c r="T78" s="3"/>
      <c r="U78" s="3"/>
      <c r="V78" s="3"/>
      <c r="W78" s="3"/>
      <c r="X78" s="3"/>
      <c r="Y78" s="3"/>
    </row>
    <row r="79">
      <c r="A79" s="6" t="str">
        <f>IFERROR(__xludf.DUMMYFUNCTION("""COMPUTED_VALUE"""),"OLSOFTWARE SAS")</f>
        <v>OLSOFTWARE SAS</v>
      </c>
      <c r="B79" s="6" t="str">
        <f>IFERROR(__xludf.DUMMYFUNCTION("""COMPUTED_VALUE"""),"Ciclo tecnológico")</f>
        <v>Ciclo tecnológico</v>
      </c>
      <c r="C79" s="6" t="str">
        <f>IFERROR(__xludf.DUMMYFUNCTION("""COMPUTED_VALUE"""),"Tecnología en Mercadeo y Diseño Publicitario")</f>
        <v>Tecnología en Mercadeo y Diseño Publicitario</v>
      </c>
      <c r="D79" s="6" t="str">
        <f>IFERROR(__xludf.DUMMYFUNCTION("""COMPUTED_VALUE"""),"Seguimiento y control de la captura y corrección de tiempos del equipo.
Apoyo en procesos de liquidación de facturación.
Actualización de tableros de control e indicadores del área.
Seguimiento a compromisos y actividades internas del equipo.
Apoyo en ini"&amp;"ciativas de mejoramiento continuo.")</f>
        <v>Seguimiento y control de la captura y corrección de tiempos del equipo.
Apoyo en procesos de liquidación de facturación.
Actualización de tableros de control e indicadores del área.
Seguimiento a compromisos y actividades internas del equipo.
Apoyo en iniciativas de mejoramiento continuo.</v>
      </c>
      <c r="E79" s="7" t="str">
        <f>IFERROR(__xludf.DUMMYFUNCTION("""COMPUTED_VALUE"""),"No")</f>
        <v>No</v>
      </c>
      <c r="F79" s="6" t="str">
        <f>IFERROR(__xludf.DUMMYFUNCTION("""COMPUTED_VALUE"""),"Cali")</f>
        <v>Cali</v>
      </c>
      <c r="G79" s="6" t="str">
        <f>IFERROR(__xludf.DUMMYFUNCTION("""COMPUTED_VALUE"""),"Mercadeo y Publicidad")</f>
        <v>Mercadeo y Publicidad</v>
      </c>
      <c r="H79" s="6" t="str">
        <f>IFERROR(__xludf.DUMMYFUNCTION("""COMPUTED_VALUE"""),"1 SMMLV")</f>
        <v>1 SMMLV</v>
      </c>
      <c r="I79" s="8">
        <f>IFERROR(__xludf.DUMMYFUNCTION("""COMPUTED_VALUE"""),46269.0)</f>
        <v>46269</v>
      </c>
      <c r="J79" s="8">
        <f>IFERROR(__xludf.DUMMYFUNCTION("""COMPUTED_VALUE"""),46295.0)</f>
        <v>46295</v>
      </c>
      <c r="K79" s="7" t="str">
        <f>IFERROR(__xludf.DUMMYFUNCTION("""COMPUTED_VALUE"""),"francia.velasquez@olsoftware.com")</f>
        <v>francia.velasquez@olsoftware.com</v>
      </c>
      <c r="L79" s="3"/>
      <c r="M79" s="3"/>
      <c r="N79" s="3"/>
      <c r="O79" s="3"/>
      <c r="P79" s="3"/>
      <c r="Q79" s="3"/>
      <c r="R79" s="3"/>
      <c r="S79" s="3"/>
      <c r="T79" s="3"/>
      <c r="U79" s="3"/>
      <c r="V79" s="3"/>
      <c r="W79" s="3"/>
      <c r="X79" s="3"/>
      <c r="Y79" s="3"/>
    </row>
    <row r="80">
      <c r="A80" s="6" t="str">
        <f>IFERROR(__xludf.DUMMYFUNCTION("""COMPUTED_VALUE"""),"RANSA COLOMBIA SAS")</f>
        <v>RANSA COLOMBIA SAS</v>
      </c>
      <c r="B80" s="6" t="str">
        <f>IFERROR(__xludf.DUMMYFUNCTION("""COMPUTED_VALUE"""),"Ciclo tecnológico, Ciclo profesional")</f>
        <v>Ciclo tecnológico, Ciclo profesional</v>
      </c>
      <c r="C80" s="6" t="str">
        <f>IFERROR(__xludf.DUMMYFUNCTION("""COMPUTED_VALUE"""),"Tecnología en Mecánica Industrial, Tecnología en Electrónica Industrial")</f>
        <v>Tecnología en Mecánica Industrial, Tecnología en Electrónica Industrial</v>
      </c>
      <c r="D80" s="6" t="str">
        <f>IFERROR(__xludf.DUMMYFUNCTION("""COMPUTED_VALUE"""),"Solciito aprendices tecnologos o profesionales en mtoo industrial o electrico")</f>
        <v>Solciito aprendices tecnologos o profesionales en mtoo industrial o electrico</v>
      </c>
      <c r="E80" s="7" t="str">
        <f>IFERROR(__xludf.DUMMYFUNCTION("""COMPUTED_VALUE"""),"No")</f>
        <v>No</v>
      </c>
      <c r="F80" s="6" t="str">
        <f>IFERROR(__xludf.DUMMYFUNCTION("""COMPUTED_VALUE"""),"Bogotá (Chia, Cota, Sopó, Cajicá y alrededores)")</f>
        <v>Bogotá (Chia, Cota, Sopó, Cajicá y alrededores)</v>
      </c>
      <c r="G80" s="6" t="str">
        <f>IFERROR(__xludf.DUMMYFUNCTION("""COMPUTED_VALUE"""),"Ingeniería Industrial, Ingeniería Electrónica")</f>
        <v>Ingeniería Industrial, Ingeniería Electrónica</v>
      </c>
      <c r="H80" s="6" t="str">
        <f>IFERROR(__xludf.DUMMYFUNCTION("""COMPUTED_VALUE"""),"1 SMMLV")</f>
        <v>1 SMMLV</v>
      </c>
      <c r="I80" s="8">
        <f>IFERROR(__xludf.DUMMYFUNCTION("""COMPUTED_VALUE"""),46269.0)</f>
        <v>46269</v>
      </c>
      <c r="J80" s="8">
        <f>IFERROR(__xludf.DUMMYFUNCTION("""COMPUTED_VALUE"""),46380.0)</f>
        <v>46380</v>
      </c>
      <c r="K80" s="7" t="str">
        <f>IFERROR(__xludf.DUMMYFUNCTION("""COMPUTED_VALUE"""),"cosoriol@ransa.net")</f>
        <v>cosoriol@ransa.net</v>
      </c>
      <c r="L80" s="3"/>
      <c r="M80" s="3"/>
      <c r="N80" s="3"/>
      <c r="O80" s="3"/>
      <c r="P80" s="3"/>
      <c r="Q80" s="3"/>
      <c r="R80" s="3"/>
      <c r="S80" s="3"/>
      <c r="T80" s="3"/>
      <c r="U80" s="3"/>
      <c r="V80" s="3"/>
      <c r="W80" s="3"/>
      <c r="X80" s="3"/>
      <c r="Y80" s="3"/>
    </row>
    <row r="81">
      <c r="A81" s="6" t="str">
        <f>IFERROR(__xludf.DUMMYFUNCTION("""COMPUTED_VALUE"""),"CORPORACIÓN CLUB EL NOGAL")</f>
        <v>CORPORACIÓN CLUB EL NOGAL</v>
      </c>
      <c r="B81" s="6" t="str">
        <f>IFERROR(__xludf.DUMMYFUNCTION("""COMPUTED_VALUE"""),"Ciclo tecnológico")</f>
        <v>Ciclo tecnológico</v>
      </c>
      <c r="C81" s="6" t="str">
        <f>IFERROR(__xludf.DUMMYFUNCTION("""COMPUTED_VALUE"""),"Tecnología en Gestión Contable")</f>
        <v>Tecnología en Gestión Contable</v>
      </c>
      <c r="D81" s="6" t="str">
        <f>IFERROR(__xludf.DUMMYFUNCTION("""COMPUTED_VALUE"""),"Se requiere aprendiz para el apoyo en el área de contabilidad manejo de documentos, conciliaciones bancarias registro de operaciones contables")</f>
        <v>Se requiere aprendiz para el apoyo en el área de contabilidad manejo de documentos, conciliaciones bancarias registro de operaciones contables</v>
      </c>
      <c r="E81" s="7" t="str">
        <f>IFERROR(__xludf.DUMMYFUNCTION("""COMPUTED_VALUE"""),"No")</f>
        <v>No</v>
      </c>
      <c r="F81" s="6" t="str">
        <f>IFERROR(__xludf.DUMMYFUNCTION("""COMPUTED_VALUE"""),"Bogotá (Chia, Cota, Sopó, Cajicá y alrededores)")</f>
        <v>Bogotá (Chia, Cota, Sopó, Cajicá y alrededores)</v>
      </c>
      <c r="G81" s="6" t="str">
        <f>IFERROR(__xludf.DUMMYFUNCTION("""COMPUTED_VALUE"""),"Contaduría Pública")</f>
        <v>Contaduría Pública</v>
      </c>
      <c r="H81" s="6" t="str">
        <f>IFERROR(__xludf.DUMMYFUNCTION("""COMPUTED_VALUE"""),"1 SMMLV")</f>
        <v>1 SMMLV</v>
      </c>
      <c r="I81" s="8">
        <f>IFERROR(__xludf.DUMMYFUNCTION("""COMPUTED_VALUE"""),46269.0)</f>
        <v>46269</v>
      </c>
      <c r="J81" s="8">
        <f>IFERROR(__xludf.DUMMYFUNCTION("""COMPUTED_VALUE"""),46295.0)</f>
        <v>46295</v>
      </c>
      <c r="K81" s="7" t="str">
        <f>IFERROR(__xludf.DUMMYFUNCTION("""COMPUTED_VALUE"""),"mvega@clubelnogal.com")</f>
        <v>mvega@clubelnogal.com</v>
      </c>
      <c r="L81" s="3"/>
      <c r="M81" s="3"/>
      <c r="N81" s="3"/>
      <c r="O81" s="3"/>
      <c r="P81" s="3"/>
      <c r="Q81" s="3"/>
      <c r="R81" s="3"/>
      <c r="S81" s="3"/>
      <c r="T81" s="3"/>
      <c r="U81" s="3"/>
      <c r="V81" s="3"/>
      <c r="W81" s="3"/>
      <c r="X81" s="3"/>
      <c r="Y81" s="3"/>
    </row>
    <row r="82">
      <c r="A82" s="6" t="str">
        <f>IFERROR(__xludf.DUMMYFUNCTION("""COMPUTED_VALUE"""),"SANCHO BBDO ")</f>
        <v>SANCHO BBDO </v>
      </c>
      <c r="B82" s="6" t="str">
        <f>IFERROR(__xludf.DUMMYFUNCTION("""COMPUTED_VALUE"""),"Ciclo tecnológico")</f>
        <v>Ciclo tecnológico</v>
      </c>
      <c r="C82" s="6" t="str">
        <f>IFERROR(__xludf.DUMMYFUNCTION("""COMPUTED_VALUE"""),"Tecnología en Mercadeo y Diseño Publicitario")</f>
        <v>Tecnología en Mercadeo y Diseño Publicitario</v>
      </c>
      <c r="D82" s="6" t="str">
        <f>IFERROR(__xludf.DUMMYFUNCTION("""COMPUTED_VALUE"""),"Funciones: ​
​
Tener sensibilidad con áreas de servicio al cliente desde la gestión y manejo de cuentas.​
Tener habilidades de comunicación entre equipos de trabajo.​
Ser apoyo y soporte al equipo de cuentas de la agencia.​
Revisar el tráfico diario c"&amp;"on cliente interno y equipo creativo.​
Verificar propuestas de creativos y validar que la solicitud de cliente esté ejecutada conforme a la solicitud. ​
Estatus con cliente interno diario, semanal y ser aliado del gesto de proyectos. ​
Informe mensual "&amp;"de operación del equipo y conteo de piezas ​
Generar y gestionar proyectos y taras en COR.​
Realizar gestión de emails en la plataforma.​")</f>
        <v>Funciones: ​
​
Tener sensibilidad con áreas de servicio al cliente desde la gestión y manejo de cuentas.​
Tener habilidades de comunicación entre equipos de trabajo.​
Ser apoyo y soporte al equipo de cuentas de la agencia.​
Revisar el tráfico diario con cliente interno y equipo creativo.​
Verificar propuestas de creativos y validar que la solicitud de cliente esté ejecutada conforme a la solicitud. ​
Estatus con cliente interno diario, semanal y ser aliado del gesto de proyectos. ​
Informe mensual de operación del equipo y conteo de piezas ​
Generar y gestionar proyectos y taras en COR.​
Realizar gestión de emails en la plataforma.​</v>
      </c>
      <c r="E82" s="7" t="str">
        <f>IFERROR(__xludf.DUMMYFUNCTION("""COMPUTED_VALUE"""),"Si")</f>
        <v>Si</v>
      </c>
      <c r="F82" s="6" t="str">
        <f>IFERROR(__xludf.DUMMYFUNCTION("""COMPUTED_VALUE"""),"Bogotá (Chia, Cota, Sopó, Cajicá y alrededores)")</f>
        <v>Bogotá (Chia, Cota, Sopó, Cajicá y alrededores)</v>
      </c>
      <c r="G82" s="6" t="str">
        <f>IFERROR(__xludf.DUMMYFUNCTION("""COMPUTED_VALUE"""),"Mercadeo y Publicidad")</f>
        <v>Mercadeo y Publicidad</v>
      </c>
      <c r="H82" s="6" t="str">
        <f>IFERROR(__xludf.DUMMYFUNCTION("""COMPUTED_VALUE"""),"1 SMMLV")</f>
        <v>1 SMMLV</v>
      </c>
      <c r="I82" s="8">
        <f>IFERROR(__xludf.DUMMYFUNCTION("""COMPUTED_VALUE"""),46269.0)</f>
        <v>46269</v>
      </c>
      <c r="J82" s="8">
        <f>IFERROR(__xludf.DUMMYFUNCTION("""COMPUTED_VALUE"""),46295.0)</f>
        <v>46295</v>
      </c>
      <c r="K82" s="7" t="str">
        <f>IFERROR(__xludf.DUMMYFUNCTION("""COMPUTED_VALUE"""),"dannaherrera@omc.com")</f>
        <v>dannaherrera@omc.com</v>
      </c>
      <c r="L82" s="3"/>
      <c r="M82" s="3"/>
      <c r="N82" s="3"/>
      <c r="O82" s="3"/>
      <c r="P82" s="3"/>
      <c r="Q82" s="3"/>
      <c r="R82" s="3"/>
      <c r="S82" s="3"/>
      <c r="T82" s="3"/>
      <c r="U82" s="3"/>
      <c r="V82" s="3"/>
      <c r="W82" s="3"/>
      <c r="X82" s="3"/>
      <c r="Y82" s="3"/>
    </row>
    <row r="83">
      <c r="A83" s="6" t="str">
        <f>IFERROR(__xludf.DUMMYFUNCTION("""COMPUTED_VALUE"""),"DISC ITBS LATAM SAS")</f>
        <v>DISC ITBS LATAM SAS</v>
      </c>
      <c r="B83" s="6" t="str">
        <f>IFERROR(__xludf.DUMMYFUNCTION("""COMPUTED_VALUE"""),"Ciclo tecnológico, Ciclo profesional")</f>
        <v>Ciclo tecnológico, Ciclo profesional</v>
      </c>
      <c r="C83" s="6" t="str">
        <f>IFERROR(__xludf.DUMMYFUNCTION("""COMPUTED_VALUE"""),"Tecnología en Desarrollo Informático")</f>
        <v>Tecnología en Desarrollo Informático</v>
      </c>
      <c r="D83" s="6" t="str">
        <f>IFERROR(__xludf.DUMMYFUNCTION("""COMPUTED_VALUE"""),"Empresa de integración tecnologia, requiere para su equipo de Tecnologia hombres y mujeres para desarrollo de Software ")</f>
        <v>Empresa de integración tecnologia, requiere para su equipo de Tecnologia hombres y mujeres para desarrollo de Software </v>
      </c>
      <c r="E83" s="7" t="str">
        <f>IFERROR(__xludf.DUMMYFUNCTION("""COMPUTED_VALUE"""),"No")</f>
        <v>No</v>
      </c>
      <c r="F83" s="6" t="str">
        <f>IFERROR(__xludf.DUMMYFUNCTION("""COMPUTED_VALUE"""),"Bogotá (Chia, Cota, Sopó, Cajicá y alrededores)")</f>
        <v>Bogotá (Chia, Cota, Sopó, Cajicá y alrededores)</v>
      </c>
      <c r="G83" s="6" t="str">
        <f>IFERROR(__xludf.DUMMYFUNCTION("""COMPUTED_VALUE"""),"Ingeniería Electrónica, Ingeniería de Sistemas")</f>
        <v>Ingeniería Electrónica, Ingeniería de Sistemas</v>
      </c>
      <c r="H83" s="6" t="str">
        <f>IFERROR(__xludf.DUMMYFUNCTION("""COMPUTED_VALUE"""),"1 SMMLV")</f>
        <v>1 SMMLV</v>
      </c>
      <c r="I83" s="8">
        <f>IFERROR(__xludf.DUMMYFUNCTION("""COMPUTED_VALUE"""),46272.0)</f>
        <v>46272</v>
      </c>
      <c r="J83" s="8">
        <f>IFERROR(__xludf.DUMMYFUNCTION("""COMPUTED_VALUE"""),46296.0)</f>
        <v>46296</v>
      </c>
      <c r="K83" s="7" t="str">
        <f>IFERROR(__xludf.DUMMYFUNCTION("""COMPUTED_VALUE"""),"dayana.aparicio@itbsco.com")</f>
        <v>dayana.aparicio@itbsco.com</v>
      </c>
      <c r="L83" s="3"/>
      <c r="M83" s="3"/>
      <c r="N83" s="3"/>
      <c r="O83" s="3"/>
      <c r="P83" s="3"/>
      <c r="Q83" s="3"/>
      <c r="R83" s="3"/>
      <c r="S83" s="3"/>
      <c r="T83" s="3"/>
      <c r="U83" s="3"/>
      <c r="V83" s="3"/>
      <c r="W83" s="3"/>
      <c r="X83" s="3"/>
      <c r="Y83" s="3"/>
    </row>
    <row r="84">
      <c r="A84" s="6" t="str">
        <f>IFERROR(__xludf.DUMMYFUNCTION("""COMPUTED_VALUE"""),"QUIMIOLAB SAS")</f>
        <v>QUIMIOLAB SAS</v>
      </c>
      <c r="B84" s="6" t="str">
        <f>IFERROR(__xludf.DUMMYFUNCTION("""COMPUTED_VALUE"""),"Ciclo tecnológico")</f>
        <v>Ciclo tecnológico</v>
      </c>
      <c r="C84" s="6" t="str">
        <f>IFERROR(__xludf.DUMMYFUNCTION("""COMPUTED_VALUE"""),"Tecnología en Gestión de Procesos Industriales")</f>
        <v>Tecnología en Gestión de Procesos Industriales</v>
      </c>
      <c r="D84" s="6" t="str">
        <f>IFERROR(__xludf.DUMMYFUNCTION("""COMPUTED_VALUE"""),"Nos encontramos en búsqueda de un Practicante Administrativo que apoye las diferentes actividades administrativas y operativas de la organización, contribuyendo al adecuado desarrollo de los procesos internos y al cumplimiento de los objetivos del área.
"&amp;"La persona seleccionada tendrá la oportunidad de fortalecer sus conocimientos y adquirir experiencia práctica en un entorno laboral, participando en actividades relacionadas con la gestión documental, manejo y actualización de información, elaboración de "&amp;"reportes, organización de archivos, seguimiento de procesos y apoyo a las diferentes áreas de la compañía.
Buscamos una persona organizada, responsable, proactiva, con disposición para aprender, atención al detalle y buenas habilidades de comunicación, q"&amp;"ue demuestre compromiso y capacidad para trabajar en equipo.")</f>
        <v>Nos encontramos en búsqueda de un Practicante Administrativo que apoye las diferentes actividades administrativas y operativas de la organización, contribuyendo al adecuado desarrollo de los procesos internos y al cumplimiento de los objetivos del área.
La persona seleccionada tendrá la oportunidad de fortalecer sus conocimientos y adquirir experiencia práctica en un entorno laboral, participando en actividades relacionadas con la gestión documental, manejo y actualización de información, elaboración de reportes, organización de archivos, seguimiento de procesos y apoyo a las diferentes áreas de la compañía.
Buscamos una persona organizada, responsable, proactiva, con disposición para aprender, atención al detalle y buenas habilidades de comunicación, que demuestre compromiso y capacidad para trabajar en equipo.</v>
      </c>
      <c r="E84" s="7" t="str">
        <f>IFERROR(__xludf.DUMMYFUNCTION("""COMPUTED_VALUE"""),"No")</f>
        <v>No</v>
      </c>
      <c r="F84" s="6" t="str">
        <f>IFERROR(__xludf.DUMMYFUNCTION("""COMPUTED_VALUE"""),"Bogotá (Chia, Cota, Sopó, Cajicá y alrededores)")</f>
        <v>Bogotá (Chia, Cota, Sopó, Cajicá y alrededores)</v>
      </c>
      <c r="G84" s="6" t="str">
        <f>IFERROR(__xludf.DUMMYFUNCTION("""COMPUTED_VALUE"""),"Ingeniería Industrial")</f>
        <v>Ingeniería Industrial</v>
      </c>
      <c r="H84" s="6" t="str">
        <f>IFERROR(__xludf.DUMMYFUNCTION("""COMPUTED_VALUE"""),"1 SMMLV")</f>
        <v>1 SMMLV</v>
      </c>
      <c r="I84" s="8">
        <f>IFERROR(__xludf.DUMMYFUNCTION("""COMPUTED_VALUE"""),46272.0)</f>
        <v>46272</v>
      </c>
      <c r="J84" s="8">
        <f>IFERROR(__xludf.DUMMYFUNCTION("""COMPUTED_VALUE"""),46295.0)</f>
        <v>46295</v>
      </c>
      <c r="K84" s="7" t="str">
        <f>IFERROR(__xludf.DUMMYFUNCTION("""COMPUTED_VALUE"""),"karolin.diaz@quimiolab.com")</f>
        <v>karolin.diaz@quimiolab.com</v>
      </c>
      <c r="L84" s="3"/>
      <c r="M84" s="3"/>
      <c r="N84" s="3"/>
      <c r="O84" s="3"/>
      <c r="P84" s="3"/>
      <c r="Q84" s="3"/>
      <c r="R84" s="3"/>
      <c r="S84" s="3"/>
      <c r="T84" s="3"/>
      <c r="U84" s="3"/>
      <c r="V84" s="3"/>
      <c r="W84" s="3"/>
      <c r="X84" s="3"/>
      <c r="Y84" s="3"/>
    </row>
    <row r="85">
      <c r="A85" s="6" t="str">
        <f>IFERROR(__xludf.DUMMYFUNCTION("""COMPUTED_VALUE"""),"APPLUS NORCONTROL COLOMBIA LTDA")</f>
        <v>APPLUS NORCONTROL COLOMBIA LTDA</v>
      </c>
      <c r="B85" s="6" t="str">
        <f>IFERROR(__xludf.DUMMYFUNCTION("""COMPUTED_VALUE"""),"Ciclo tecnológico")</f>
        <v>Ciclo tecnológico</v>
      </c>
      <c r="C85" s="6" t="str">
        <f>IFERROR(__xludf.DUMMYFUNCTION("""COMPUTED_VALUE"""),"Tecnología en Gestión de Procesos Industriales")</f>
        <v>Tecnología en Gestión de Procesos Industriales</v>
      </c>
      <c r="D85" s="6" t="str">
        <f>IFERROR(__xludf.DUMMYFUNCTION("""COMPUTED_VALUE"""),"APPLUS NORCONTROL COLOMBIA LTDA busca talento comprometido para unirse a nuestra organización.
Requiere para su equipo de trabajo hombre o mujer para desempeñar el cargo de Aprendiz etapa Lectiva – Productiva en la ciudad de Bogotá, técnico o tecnólogo en"&amp;" Administración de Empresas, Recursos humanos o Gestión Empresarial o Ingenieria Industrial Tipo de contrato: Contrato de aprendizaje, horario de lunes a jueves de 7:30 am a 5 pm, viernes de 7: 00 am a 4:00 pm, salario: SMMLV con todas las prestaciones de"&amp;" ley, lugar de trabajo Pereira, Modalidad: presencial.")</f>
        <v>APPLUS NORCONTROL COLOMBIA LTDA busca talento comprometido para unirse a nuestra organización.
Requiere para su equipo de trabajo hombre o mujer para desempeñar el cargo de Aprendiz etapa Lectiva – Productiva en la ciudad de Bogotá, técnico o tecnólogo en Administración de Empresas, Recursos humanos o Gestión Empresarial o Ingenieria Industrial Tipo de contrato: Contrato de aprendizaje, horario de lunes a jueves de 7:30 am a 5 pm, viernes de 7: 00 am a 4:00 pm, salario: SMMLV con todas las prestaciones de ley, lugar de trabajo Pereira, Modalidad: presencial.</v>
      </c>
      <c r="E85" s="7" t="str">
        <f>IFERROR(__xludf.DUMMYFUNCTION("""COMPUTED_VALUE"""),"Si")</f>
        <v>Si</v>
      </c>
      <c r="F85" s="6" t="str">
        <f>IFERROR(__xludf.DUMMYFUNCTION("""COMPUTED_VALUE"""),"Pereira")</f>
        <v>Pereira</v>
      </c>
      <c r="G85" s="6" t="str">
        <f>IFERROR(__xludf.DUMMYFUNCTION("""COMPUTED_VALUE"""),"Administración de Empresas Virtual")</f>
        <v>Administración de Empresas Virtual</v>
      </c>
      <c r="H85" s="6" t="str">
        <f>IFERROR(__xludf.DUMMYFUNCTION("""COMPUTED_VALUE"""),"1 SMMLV")</f>
        <v>1 SMMLV</v>
      </c>
      <c r="I85" s="8">
        <f>IFERROR(__xludf.DUMMYFUNCTION("""COMPUTED_VALUE"""),46272.0)</f>
        <v>46272</v>
      </c>
      <c r="J85" s="8">
        <f>IFERROR(__xludf.DUMMYFUNCTION("""COMPUTED_VALUE"""),46295.0)</f>
        <v>46295</v>
      </c>
      <c r="K85" s="7" t="str">
        <f>IFERROR(__xludf.DUMMYFUNCTION("""COMPUTED_VALUE"""),"lina.pedraza@applus.com")</f>
        <v>lina.pedraza@applus.com</v>
      </c>
      <c r="L85" s="3"/>
      <c r="M85" s="3"/>
      <c r="N85" s="3"/>
      <c r="O85" s="3"/>
      <c r="P85" s="3"/>
      <c r="Q85" s="3"/>
      <c r="R85" s="3"/>
      <c r="S85" s="3"/>
      <c r="T85" s="3"/>
      <c r="U85" s="3"/>
      <c r="V85" s="3"/>
      <c r="W85" s="3"/>
      <c r="X85" s="3"/>
      <c r="Y85" s="3"/>
    </row>
    <row r="86">
      <c r="A86" s="6" t="str">
        <f>IFERROR(__xludf.DUMMYFUNCTION("""COMPUTED_VALUE"""),"ASIAMCO SAS")</f>
        <v>ASIAMCO SAS</v>
      </c>
      <c r="B86" s="6" t="str">
        <f>IFERROR(__xludf.DUMMYFUNCTION("""COMPUTED_VALUE"""),"Ciclo tecnológico, Ciclo profesional")</f>
        <v>Ciclo tecnológico, Ciclo profesional</v>
      </c>
      <c r="C86" s="6" t="str">
        <f>IFERROR(__xludf.DUMMYFUNCTION("""COMPUTED_VALUE"""),"Tecnología en Procesamiento de Polímeros, Tecnología en Mecánica Industrial, Tecnología en Electrónica Industrial")</f>
        <v>Tecnología en Procesamiento de Polímeros, Tecnología en Mecánica Industrial, Tecnología en Electrónica Industrial</v>
      </c>
      <c r="D86" s="6" t="str">
        <f>IFERROR(__xludf.DUMMYFUNCTION("""COMPUTED_VALUE"""),"empresa de certificacion de producto, personal tecnico para ejecutar la labor de evaluacion de productos bajo reglamentos tecnicos")</f>
        <v>empresa de certificacion de producto, personal tecnico para ejecutar la labor de evaluacion de productos bajo reglamentos tecnicos</v>
      </c>
      <c r="E86" s="7" t="str">
        <f>IFERROR(__xludf.DUMMYFUNCTION("""COMPUTED_VALUE"""),"No")</f>
        <v>No</v>
      </c>
      <c r="F86" s="6" t="str">
        <f>IFERROR(__xludf.DUMMYFUNCTION("""COMPUTED_VALUE"""),"Bogotá (Chia, Cota, Sopó, Cajicá y alrededores)")</f>
        <v>Bogotá (Chia, Cota, Sopó, Cajicá y alrededores)</v>
      </c>
      <c r="G86" s="6" t="str">
        <f>IFERROR(__xludf.DUMMYFUNCTION("""COMPUTED_VALUE"""),"Ingeniería de Polímeros, Ingeniería Mecatrónica, Ingeniería Electrónica")</f>
        <v>Ingeniería de Polímeros, Ingeniería Mecatrónica, Ingeniería Electrónica</v>
      </c>
      <c r="H86" s="6" t="str">
        <f>IFERROR(__xludf.DUMMYFUNCTION("""COMPUTED_VALUE"""),"De 1 SMMLV a 2 SMMLV")</f>
        <v>De 1 SMMLV a 2 SMMLV</v>
      </c>
      <c r="I86" s="8">
        <f>IFERROR(__xludf.DUMMYFUNCTION("""COMPUTED_VALUE"""),46279.0)</f>
        <v>46279</v>
      </c>
      <c r="J86" s="8">
        <f>IFERROR(__xludf.DUMMYFUNCTION("""COMPUTED_VALUE"""),46290.0)</f>
        <v>46290</v>
      </c>
      <c r="K86" s="7" t="str">
        <f>IFERROR(__xludf.DUMMYFUNCTION("""COMPUTED_VALUE"""),"calidad01@asiam-lat.com")</f>
        <v>calidad01@asiam-lat.com</v>
      </c>
      <c r="L86" s="3"/>
      <c r="M86" s="3"/>
      <c r="N86" s="3"/>
      <c r="O86" s="3"/>
      <c r="P86" s="3"/>
      <c r="Q86" s="3"/>
      <c r="R86" s="3"/>
      <c r="S86" s="3"/>
      <c r="T86" s="3"/>
      <c r="U86" s="3"/>
      <c r="V86" s="3"/>
      <c r="W86" s="3"/>
      <c r="X86" s="3"/>
      <c r="Y86" s="3"/>
    </row>
    <row r="87">
      <c r="A87" s="6" t="str">
        <f>IFERROR(__xludf.DUMMYFUNCTION("""COMPUTED_VALUE"""),"AUTOMAYOR SA")</f>
        <v>AUTOMAYOR SA</v>
      </c>
      <c r="B87" s="6" t="str">
        <f>IFERROR(__xludf.DUMMYFUNCTION("""COMPUTED_VALUE"""),"Ciclo profesional")</f>
        <v>Ciclo profesional</v>
      </c>
      <c r="C87" s="6" t="str">
        <f>IFERROR(__xludf.DUMMYFUNCTION("""COMPUTED_VALUE"""),"Tecnología en Gestión de Procesos Industriales")</f>
        <v>Tecnología en Gestión de Procesos Industriales</v>
      </c>
      <c r="D87" s="6" t="str">
        <f>IFERROR(__xludf.DUMMYFUNCTION("""COMPUTED_VALUE"""),"Concesionario de Chevrolet, requiere estudiantes de Ingeniería Industrial, para desempeñar sus practicas en el área de calidad apoyando los procesos del sistema de Gestión. Tipo de contrato aprendizaje, Horario de Lunes a viernes de 07:00 am a 05:00 pm y "&amp;"sábados cada 15 días medio día. Lugar: Calle 13 # 38 -91")</f>
        <v>Concesionario de Chevrolet, requiere estudiantes de Ingeniería Industrial, para desempeñar sus practicas en el área de calidad apoyando los procesos del sistema de Gestión. Tipo de contrato aprendizaje, Horario de Lunes a viernes de 07:00 am a 05:00 pm y sábados cada 15 días medio día. Lugar: Calle 13 # 38 -91</v>
      </c>
      <c r="E87" s="7" t="str">
        <f>IFERROR(__xludf.DUMMYFUNCTION("""COMPUTED_VALUE"""),"No")</f>
        <v>No</v>
      </c>
      <c r="F87" s="6" t="str">
        <f>IFERROR(__xludf.DUMMYFUNCTION("""COMPUTED_VALUE"""),"Bogotá (Chia, Cota, Sopó, Cajicá y alrededores)")</f>
        <v>Bogotá (Chia, Cota, Sopó, Cajicá y alrededores)</v>
      </c>
      <c r="G87" s="6" t="str">
        <f>IFERROR(__xludf.DUMMYFUNCTION("""COMPUTED_VALUE"""),"Ingeniería Mecánica, Ingeniería Industrial")</f>
        <v>Ingeniería Mecánica, Ingeniería Industrial</v>
      </c>
      <c r="H87" s="6" t="str">
        <f>IFERROR(__xludf.DUMMYFUNCTION("""COMPUTED_VALUE"""),"1 SMMLV")</f>
        <v>1 SMMLV</v>
      </c>
      <c r="I87" s="8">
        <f>IFERROR(__xludf.DUMMYFUNCTION("""COMPUTED_VALUE"""),46273.0)</f>
        <v>46273</v>
      </c>
      <c r="J87" s="8">
        <f>IFERROR(__xludf.DUMMYFUNCTION("""COMPUTED_VALUE"""),46315.0)</f>
        <v>46315</v>
      </c>
      <c r="K87" s="7" t="str">
        <f>IFERROR(__xludf.DUMMYFUNCTION("""COMPUTED_VALUE"""),"rhumanos@automayor.com.co")</f>
        <v>rhumanos@automayor.com.co</v>
      </c>
      <c r="L87" s="3"/>
      <c r="M87" s="3"/>
      <c r="N87" s="3"/>
      <c r="O87" s="3"/>
      <c r="P87" s="3"/>
      <c r="Q87" s="3"/>
      <c r="R87" s="3"/>
      <c r="S87" s="3"/>
      <c r="T87" s="3"/>
      <c r="U87" s="3"/>
      <c r="V87" s="3"/>
      <c r="W87" s="3"/>
      <c r="X87" s="3"/>
      <c r="Y87" s="3"/>
    </row>
    <row r="88">
      <c r="A88" s="6" t="str">
        <f>IFERROR(__xludf.DUMMYFUNCTION("""COMPUTED_VALUE"""),"SOLENIS SAS")</f>
        <v>SOLENIS SAS</v>
      </c>
      <c r="B88" s="6" t="str">
        <f>IFERROR(__xludf.DUMMYFUNCTION("""COMPUTED_VALUE"""),"Ciclo tecnológico")</f>
        <v>Ciclo tecnológico</v>
      </c>
      <c r="C88" s="6" t="str">
        <f>IFERROR(__xludf.DUMMYFUNCTION("""COMPUTED_VALUE"""),"Tecnología en Procesos Químicos Industriales, Tecnología en Gestión de Procesos Industriales")</f>
        <v>Tecnología en Procesos Químicos Industriales, Tecnología en Gestión de Procesos Industriales</v>
      </c>
      <c r="D88" s="6" t="str">
        <f>IFERROR(__xludf.DUMMYFUNCTION("""COMPUTED_VALUE"""),"Control y Gestión de la Calidad (QM &amp; SAP)
Inspección y Análisis: Apoyar en el muestreo, análisis fisicoquímico de materias primas recibidas y de producto terminado antes de su liberación.
Gestión Operativa en SAP: Registrar los resultados de las inspec"&amp;"ciones en el módulo SAP QM y colaborar en el monitoreo de lotes de inspección.
Trazabilidad y Certificados: Generar los Certificados de Análisis (CoA) en SAP y asegurar la trazabilidad de los lotes ante cualquier consulta técnica o auditoría.
Sistema de"&amp;" Gestión Documental: Apoyar en la actualización de fichas técnicas, procedimientos, manuales y control de registros del área.
Avisos de Calidad: Registrar desviaciones o reclamos (Avisos Q) en SAP y colaborar en la investigación de causa raíz (diagramas "&amp;"de Ishikawa, 5 porqués).
")</f>
        <v>Control y Gestión de la Calidad (QM &amp; SAP)
Inspección y Análisis: Apoyar en el muestreo, análisis fisicoquímico de materias primas recibidas y de producto terminado antes de su liberación.
Gestión Operativa en SAP: Registrar los resultados de las inspecciones en el módulo SAP QM y colaborar en el monitoreo de lotes de inspección.
Trazabilidad y Certificados: Generar los Certificados de Análisis (CoA) en SAP y asegurar la trazabilidad de los lotes ante cualquier consulta técnica o auditoría.
Sistema de Gestión Documental: Apoyar en la actualización de fichas técnicas, procedimientos, manuales y control de registros del área.
Avisos de Calidad: Registrar desviaciones o reclamos (Avisos Q) en SAP y colaborar en la investigación de causa raíz (diagramas de Ishikawa, 5 porqués).
</v>
      </c>
      <c r="E88" s="7" t="str">
        <f>IFERROR(__xludf.DUMMYFUNCTION("""COMPUTED_VALUE"""),"Si")</f>
        <v>Si</v>
      </c>
      <c r="F88" s="6" t="str">
        <f>IFERROR(__xludf.DUMMYFUNCTION("""COMPUTED_VALUE"""),"Medellín")</f>
        <v>Medellín</v>
      </c>
      <c r="G88" s="6" t="str">
        <f>IFERROR(__xludf.DUMMYFUNCTION("""COMPUTED_VALUE"""),"Ingeniería Química, Ingeniería Industrial, Ingeniería Ambiental")</f>
        <v>Ingeniería Química, Ingeniería Industrial, Ingeniería Ambiental</v>
      </c>
      <c r="H88" s="6" t="str">
        <f>IFERROR(__xludf.DUMMYFUNCTION("""COMPUTED_VALUE"""),"1 SMMLV")</f>
        <v>1 SMMLV</v>
      </c>
      <c r="I88" s="8">
        <f>IFERROR(__xludf.DUMMYFUNCTION("""COMPUTED_VALUE"""),46273.0)</f>
        <v>46273</v>
      </c>
      <c r="J88" s="8">
        <f>IFERROR(__xludf.DUMMYFUNCTION("""COMPUTED_VALUE"""),46296.0)</f>
        <v>46296</v>
      </c>
      <c r="K88" s="7" t="str">
        <f>IFERROR(__xludf.DUMMYFUNCTION("""COMPUTED_VALUE"""),"alpatino@solenis.com")</f>
        <v>alpatino@solenis.com</v>
      </c>
      <c r="L88" s="3"/>
      <c r="M88" s="3"/>
      <c r="N88" s="3"/>
      <c r="O88" s="3"/>
      <c r="P88" s="3"/>
      <c r="Q88" s="3"/>
      <c r="R88" s="3"/>
      <c r="S88" s="3"/>
      <c r="T88" s="3"/>
      <c r="U88" s="3"/>
      <c r="V88" s="3"/>
      <c r="W88" s="3"/>
      <c r="X88" s="3"/>
      <c r="Y88" s="3"/>
    </row>
    <row r="89">
      <c r="A89" s="6" t="str">
        <f>IFERROR(__xludf.DUMMYFUNCTION("""COMPUTED_VALUE"""),"ISDIN COLOMBIA ")</f>
        <v>ISDIN COLOMBIA </v>
      </c>
      <c r="B89" s="6" t="str">
        <f>IFERROR(__xludf.DUMMYFUNCTION("""COMPUTED_VALUE"""),"Ciclo tecnológico, Ciclo profesional")</f>
        <v>Ciclo tecnológico, Ciclo profesional</v>
      </c>
      <c r="C89" s="6" t="str">
        <f>IFERROR(__xludf.DUMMYFUNCTION("""COMPUTED_VALUE"""),"Tecnología en Gestión Contable")</f>
        <v>Tecnología en Gestión Contable</v>
      </c>
      <c r="D89" s="6" t="str">
        <f>IFERROR(__xludf.DUMMYFUNCTION("""COMPUTED_VALUE"""),"¡Súmate al equipo ISDIN Colombia! 💙
¿Te apasiona la salud de la piel y quieres hacer crecer tu carrera en una multinacional de dermocosmética? Estamos buscando a nuestro(a) próximo(a) Aprendiz en el equipo de Administración y Finanzas. 
Condiciones de "&amp;"la vacante:
Contrato: Contrato de aprendizaje
Ubicación: Bogotá D.C
Horario: Lunes a jueves de 7:30 a. m. a 5:30 p. m. y viernes 7:30 a.m. a 1:40 p.m.")</f>
        <v>¡Súmate al equipo ISDIN Colombia! 💙
¿Te apasiona la salud de la piel y quieres hacer crecer tu carrera en una multinacional de dermocosmética? Estamos buscando a nuestro(a) próximo(a) Aprendiz en el equipo de Administración y Finanzas. 
Condiciones de la vacante:
Contrato: Contrato de aprendizaje
Ubicación: Bogotá D.C
Horario: Lunes a jueves de 7:30 a. m. a 5:30 p. m. y viernes 7:30 a.m. a 1:40 p.m.</v>
      </c>
      <c r="E89" s="7" t="str">
        <f>IFERROR(__xludf.DUMMYFUNCTION("""COMPUTED_VALUE"""),"No")</f>
        <v>No</v>
      </c>
      <c r="F89" s="6" t="str">
        <f>IFERROR(__xludf.DUMMYFUNCTION("""COMPUTED_VALUE"""),"Bogotá (Chia, Cota, Sopó, Cajicá y alrededores)")</f>
        <v>Bogotá (Chia, Cota, Sopó, Cajicá y alrededores)</v>
      </c>
      <c r="G89" s="6" t="str">
        <f>IFERROR(__xludf.DUMMYFUNCTION("""COMPUTED_VALUE"""),"Contaduría Pública, Administración de Empresas Virtual")</f>
        <v>Contaduría Pública, Administración de Empresas Virtual</v>
      </c>
      <c r="H89" s="6" t="str">
        <f>IFERROR(__xludf.DUMMYFUNCTION("""COMPUTED_VALUE"""),"1 SMMLV")</f>
        <v>1 SMMLV</v>
      </c>
      <c r="I89" s="8">
        <f>IFERROR(__xludf.DUMMYFUNCTION("""COMPUTED_VALUE"""),46274.0)</f>
        <v>46274</v>
      </c>
      <c r="J89" s="8">
        <f>IFERROR(__xludf.DUMMYFUNCTION("""COMPUTED_VALUE"""),46295.0)</f>
        <v>46295</v>
      </c>
      <c r="K89" s="7" t="str">
        <f>IFERROR(__xludf.DUMMYFUNCTION("""COMPUTED_VALUE"""),"jasbleidy.ascensio@isdin.com")</f>
        <v>jasbleidy.ascensio@isdin.com</v>
      </c>
      <c r="L89" s="3"/>
      <c r="M89" s="3"/>
      <c r="N89" s="3"/>
      <c r="O89" s="3"/>
      <c r="P89" s="3"/>
      <c r="Q89" s="3"/>
      <c r="R89" s="3"/>
      <c r="S89" s="3"/>
      <c r="T89" s="3"/>
      <c r="U89" s="3"/>
      <c r="V89" s="3"/>
      <c r="W89" s="3"/>
      <c r="X89" s="3"/>
      <c r="Y89" s="3"/>
    </row>
    <row r="90">
      <c r="A90" s="6" t="str">
        <f>IFERROR(__xludf.DUMMYFUNCTION("""COMPUTED_VALUE"""),"YASA SAS")</f>
        <v>YASA SAS</v>
      </c>
      <c r="B90" s="6" t="str">
        <f>IFERROR(__xludf.DUMMYFUNCTION("""COMPUTED_VALUE"""),"Ciclo tecnológico, Ciclo profesional")</f>
        <v>Ciclo tecnológico, Ciclo profesional</v>
      </c>
      <c r="C90" s="6" t="str">
        <f>IFERROR(__xludf.DUMMYFUNCTION("""COMPUTED_VALUE"""),"No aplica")</f>
        <v>No aplica</v>
      </c>
      <c r="D90" s="6" t="str">
        <f>IFERROR(__xludf.DUMMYFUNCTION("""COMPUTED_VALUE"""),"Buscamos aprendiz proactivo, con el fin de apoyar actividades relacionadas al sector floricultor y encaminadas a la formacion del aprendiz")</f>
        <v>Buscamos aprendiz proactivo, con el fin de apoyar actividades relacionadas al sector floricultor y encaminadas a la formacion del aprendiz</v>
      </c>
      <c r="E90" s="7" t="str">
        <f>IFERROR(__xludf.DUMMYFUNCTION("""COMPUTED_VALUE"""),"Si")</f>
        <v>Si</v>
      </c>
      <c r="F90" s="6" t="str">
        <f>IFERROR(__xludf.DUMMYFUNCTION("""COMPUTED_VALUE"""),"Bogotá (Chia, Cota, Sopó, Cajicá y alrededores)")</f>
        <v>Bogotá (Chia, Cota, Sopó, Cajicá y alrededores)</v>
      </c>
      <c r="G90" s="6" t="str">
        <f>IFERROR(__xludf.DUMMYFUNCTION("""COMPUTED_VALUE"""),"Ingeniería Mecatrónica, Ingeniería Mecánica, Ingeniería Electrónica")</f>
        <v>Ingeniería Mecatrónica, Ingeniería Mecánica, Ingeniería Electrónica</v>
      </c>
      <c r="H90" s="6" t="str">
        <f>IFERROR(__xludf.DUMMYFUNCTION("""COMPUTED_VALUE"""),"1 SMMLV")</f>
        <v>1 SMMLV</v>
      </c>
      <c r="I90" s="8">
        <f>IFERROR(__xludf.DUMMYFUNCTION("""COMPUTED_VALUE"""),46273.0)</f>
        <v>46273</v>
      </c>
      <c r="J90" s="8">
        <f>IFERROR(__xludf.DUMMYFUNCTION("""COMPUTED_VALUE"""),46326.0)</f>
        <v>46326</v>
      </c>
      <c r="K90" s="7" t="str">
        <f>IFERROR(__xludf.DUMMYFUNCTION("""COMPUTED_VALUE"""),"recursohumano@yasacisa.com")</f>
        <v>recursohumano@yasacisa.com</v>
      </c>
      <c r="L90" s="3"/>
      <c r="M90" s="3"/>
      <c r="N90" s="3"/>
      <c r="O90" s="3"/>
      <c r="P90" s="3"/>
      <c r="Q90" s="3"/>
      <c r="R90" s="3"/>
      <c r="S90" s="3"/>
      <c r="T90" s="3"/>
      <c r="U90" s="3"/>
      <c r="V90" s="3"/>
      <c r="W90" s="3"/>
      <c r="X90" s="3"/>
      <c r="Y90" s="3"/>
    </row>
    <row r="91">
      <c r="A91" s="6" t="str">
        <f>IFERROR(__xludf.DUMMYFUNCTION("""COMPUTED_VALUE"""),"GRUPO EXCALA - COMPAÑÍA DE EMPAQUES S.A.")</f>
        <v>GRUPO EXCALA - COMPAÑÍA DE EMPAQUES S.A.</v>
      </c>
      <c r="B91" s="6" t="str">
        <f>IFERROR(__xludf.DUMMYFUNCTION("""COMPUTED_VALUE"""),"Ciclo tecnológico")</f>
        <v>Ciclo tecnológico</v>
      </c>
      <c r="C91" s="6" t="str">
        <f>IFERROR(__xludf.DUMMYFUNCTION("""COMPUTED_VALUE"""),"Tecnología en Mecánica Industrial")</f>
        <v>Tecnología en Mecánica Industrial</v>
      </c>
      <c r="D91" s="6" t="str">
        <f>IFERROR(__xludf.DUMMYFUNCTION("""COMPUTED_VALUE"""),"Reportar, administrar y monitorear sistema de reporte de averías
Cotizar repuestos y equipos
Mantener actualizado los reportes del monitoreo de condición de equipo.
Cumplir con las políticas, procedimientos, normas e instructivos del área y la Compañía"&amp;".
Realizar procedimientos de 5s organización y orden
Conocimiento y manejo de herramientas, equipos e información técnica
Informar anomalías y solicitar insumos necesarios para las rutinas definidas.")</f>
        <v>Reportar, administrar y monitorear sistema de reporte de averías
Cotizar repuestos y equipos
Mantener actualizado los reportes del monitoreo de condición de equipo.
Cumplir con las políticas, procedimientos, normas e instructivos del área y la Compañía.
Realizar procedimientos de 5s organización y orden
Conocimiento y manejo de herramientas, equipos e información técnica
Informar anomalías y solicitar insumos necesarios para las rutinas definidas.</v>
      </c>
      <c r="E91" s="7"/>
      <c r="F91" s="6" t="str">
        <f>IFERROR(__xludf.DUMMYFUNCTION("""COMPUTED_VALUE"""),"Medellín")</f>
        <v>Medellín</v>
      </c>
      <c r="G91" s="6" t="str">
        <f>IFERROR(__xludf.DUMMYFUNCTION("""COMPUTED_VALUE"""),"Ingeniería Mecánica")</f>
        <v>Ingeniería Mecánica</v>
      </c>
      <c r="H91" s="6" t="str">
        <f>IFERROR(__xludf.DUMMYFUNCTION("""COMPUTED_VALUE"""),"1 SMMLV")</f>
        <v>1 SMMLV</v>
      </c>
      <c r="I91" s="8">
        <f>IFERROR(__xludf.DUMMYFUNCTION("""COMPUTED_VALUE"""),46273.0)</f>
        <v>46273</v>
      </c>
      <c r="J91" s="8">
        <f>IFERROR(__xludf.DUMMYFUNCTION("""COMPUTED_VALUE"""),46295.0)</f>
        <v>46295</v>
      </c>
      <c r="K91" s="7" t="str">
        <f>IFERROR(__xludf.DUMMYFUNCTION("""COMPUTED_VALUE"""),"practicante.seleccion@grupoexcala.com")</f>
        <v>practicante.seleccion@grupoexcala.com</v>
      </c>
      <c r="L91" s="3"/>
      <c r="M91" s="3"/>
      <c r="N91" s="3"/>
      <c r="O91" s="3"/>
      <c r="P91" s="3"/>
      <c r="Q91" s="3"/>
      <c r="R91" s="3"/>
      <c r="S91" s="3"/>
      <c r="T91" s="3"/>
      <c r="U91" s="3"/>
      <c r="V91" s="3"/>
      <c r="W91" s="3"/>
      <c r="X91" s="3"/>
      <c r="Y91" s="3"/>
    </row>
    <row r="92">
      <c r="A92" s="6" t="str">
        <f>IFERROR(__xludf.DUMMYFUNCTION("""COMPUTED_VALUE"""),"BASF AGRICULTURAL SOLUTIONS COLOMBIA S.A.S")</f>
        <v>BASF AGRICULTURAL SOLUTIONS COLOMBIA S.A.S</v>
      </c>
      <c r="B92" s="6" t="str">
        <f>IFERROR(__xludf.DUMMYFUNCTION("""COMPUTED_VALUE"""),"Ciclo tecnológico")</f>
        <v>Ciclo tecnológico</v>
      </c>
      <c r="C92" s="6" t="str">
        <f>IFERROR(__xludf.DUMMYFUNCTION("""COMPUTED_VALUE"""),"Tecnología en Gestión Contable")</f>
        <v>Tecnología en Gestión Contable</v>
      </c>
      <c r="D92" s="6" t="str">
        <f>IFERROR(__xludf.DUMMYFUNCTION("""COMPUTED_VALUE"""),"En BASF, desarrollamos soluciones innovadoras para la agricultura, contribuyendo al equilibrio entre las necesidades de los agricultores, la sostenibilidad del campo y las generaciones futuras. Buscamos un(a) Practicante de Contabilidad que quiera adquiri"&amp;"r experiencia en un entorno dinámico y retador.
¿Cuál será tu misión?
Brindar apoyo a los procesos de contabilidad y control de costos, contribuyendo a la generación de información financiera confiable y oportuna para el seguimiento de indicadores y la "&amp;"toma de decisiones del negocio.
Requisitos
Estudiante de programas técnicos, tecnológicos o profesionales en Contabilidad, Contaduría Pública o carreras afines.
Contar con aval de la institución educativa para realizar práctica bajo contrato de aprendiza"&amp;"je SENA.
Manejo avanzado de herramientas de Microsoft Office, especialmente Excel.
Atención al detalle, orientación a resultados y capacidad de análisis.
Condiciones
📍 Ubicación: Bogotá
 🕒 Horario: Lunes a viernes de 8:00 a.m. a 5:00 p.m.
 🏠 Modalidad"&amp;" híbrida: 1 día de trabajo en casa a la semana.
 📄 Tipo de contrato: Contrato de aprendizaje SENA.
 💰 Apoyo de sostenimiento según normativa vigente.
 🍽️ Beneficio de casino.
¡Únete a BASF y comienza tu desarrollo profesional en una compañía global co"&amp;"mprometida con la innovación y el crecimiento de las personas!")</f>
        <v>En BASF, desarrollamos soluciones innovadoras para la agricultura, contribuyendo al equilibrio entre las necesidades de los agricultores, la sostenibilidad del campo y las generaciones futuras. Buscamos un(a) Practicante de Contabilidad que quiera adquirir experiencia en un entorno dinámico y retador.
¿Cuál será tu misión?
Brindar apoyo a los procesos de contabilidad y control de costos, contribuyendo a la generación de información financiera confiable y oportuna para el seguimiento de indicadores y la toma de decisiones del negocio.
Requisitos
Estudiante de programas técnicos, tecnológicos o profesionales en Contabilidad, Contaduría Pública o carreras afines.
Contar con aval de la institución educativa para realizar práctica bajo contrato de aprendizaje SENA.
Manejo avanzado de herramientas de Microsoft Office, especialmente Excel.
Atención al detalle, orientación a resultados y capacidad de análisis.
Condiciones
📍 Ubicación: Bogotá
 🕒 Horario: Lunes a viernes de 8:00 a.m. a 5:00 p.m.
 🏠 Modalidad híbrida: 1 día de trabajo en casa a la semana.
 📄 Tipo de contrato: Contrato de aprendizaje SENA.
 💰 Apoyo de sostenimiento según normativa vigente.
 🍽️ Beneficio de casino.
¡Únete a BASF y comienza tu desarrollo profesional en una compañía global comprometida con la innovación y el crecimiento de las personas!</v>
      </c>
      <c r="E92" s="7" t="str">
        <f>IFERROR(__xludf.DUMMYFUNCTION("""COMPUTED_VALUE"""),"Si")</f>
        <v>Si</v>
      </c>
      <c r="F92" s="6" t="str">
        <f>IFERROR(__xludf.DUMMYFUNCTION("""COMPUTED_VALUE"""),"Bogotá (Chia, Cota, Sopó, Cajicá y alrededores)")</f>
        <v>Bogotá (Chia, Cota, Sopó, Cajicá y alrededores)</v>
      </c>
      <c r="G92" s="6" t="str">
        <f>IFERROR(__xludf.DUMMYFUNCTION("""COMPUTED_VALUE"""),"Contaduría Pública")</f>
        <v>Contaduría Pública</v>
      </c>
      <c r="H92" s="6" t="str">
        <f>IFERROR(__xludf.DUMMYFUNCTION("""COMPUTED_VALUE"""),"1 SMMLV")</f>
        <v>1 SMMLV</v>
      </c>
      <c r="I92" s="8">
        <f>IFERROR(__xludf.DUMMYFUNCTION("""COMPUTED_VALUE"""),46273.0)</f>
        <v>46273</v>
      </c>
      <c r="J92" s="8">
        <f>IFERROR(__xludf.DUMMYFUNCTION("""COMPUTED_VALUE"""),46311.0)</f>
        <v>46311</v>
      </c>
      <c r="K92" s="7" t="str">
        <f>IFERROR(__xludf.DUMMYFUNCTION("""COMPUTED_VALUE"""),"natali.a.diaz@basf.com")</f>
        <v>natali.a.diaz@basf.com</v>
      </c>
      <c r="L92" s="3"/>
      <c r="M92" s="3"/>
      <c r="N92" s="3"/>
      <c r="O92" s="3"/>
      <c r="P92" s="3"/>
      <c r="Q92" s="3"/>
      <c r="R92" s="3"/>
      <c r="S92" s="3"/>
      <c r="T92" s="3"/>
      <c r="U92" s="3"/>
      <c r="V92" s="3"/>
      <c r="W92" s="3"/>
      <c r="X92" s="3"/>
      <c r="Y92" s="3"/>
    </row>
    <row r="93">
      <c r="A93" s="6" t="str">
        <f>IFERROR(__xludf.DUMMYFUNCTION("""COMPUTED_VALUE"""),"BASF AGRICULTURAL SOLUTIONS COLOMBIA SAS")</f>
        <v>BASF AGRICULTURAL SOLUTIONS COLOMBIA SAS</v>
      </c>
      <c r="B93" s="6" t="str">
        <f>IFERROR(__xludf.DUMMYFUNCTION("""COMPUTED_VALUE"""),"Ciclo tecnológico")</f>
        <v>Ciclo tecnológico</v>
      </c>
      <c r="C93" s="6" t="str">
        <f>IFERROR(__xludf.DUMMYFUNCTION("""COMPUTED_VALUE"""),"Tecnología en Mercadeo y Diseño Publicitario")</f>
        <v>Tecnología en Mercadeo y Diseño Publicitario</v>
      </c>
      <c r="D93" s="6" t="str">
        <f>IFERROR(__xludf.DUMMYFUNCTION("""COMPUTED_VALUE"""),"En BASF, desarrollamos soluciones innovadoras para la agricultura, contribuyendo al equilibrio entre las necesidades de los agricultores, la sostenibilidad del campo y las generaciones futuras. Buscamos un(a) Practicante de Contabilidad que quiera adquiri"&amp;"r experiencia en un entorno dinámico y retador.
¿Cuál será tu misión?
Apoyar al equipo de Marketing en el análisis de información, la ejecución y el seguimiento de iniciativas que fortalezcan la propuesta de valor y la actividad comercial del negocio ag"&amp;"rícola en Colombia.
Requisitos
Estudiante de programas técnicos, tecnológicos en Mercadeo
Contar con aval de la institución educativa para realizar práctica bajo contrato de aprendizaje SENA.
Manejo intermedio de herramientas de Microsoft Office, especia"&amp;"lmente Excel.
Atención al detalle, orientación a resultados y capacidad de análisis.
Condiciones
📍 Ubicación: Bogotá
 🕒 Horario: Lunes a viernes de 8:00 a.m. a 5:00 p.m.
 🏠 Modalidad híbrida: 1 día de trabajo en casa a la semana.
 📄 Tipo de contrato:"&amp;" Contrato de aprendizaje SENA.
 💰 Apoyo de sostenimiento según normativa vigente.
 🍽️ Beneficio de casino.
¡Únete a BASF y comienza tu desarrollo profesional en una compañía global comprometida con la innovación y el crecimiento de las personas!")</f>
        <v>En BASF, desarrollamos soluciones innovadoras para la agricultura, contribuyendo al equilibrio entre las necesidades de los agricultores, la sostenibilidad del campo y las generaciones futuras. Buscamos un(a) Practicante de Contabilidad que quiera adquirir experiencia en un entorno dinámico y retador.
¿Cuál será tu misión?
Apoyar al equipo de Marketing en el análisis de información, la ejecución y el seguimiento de iniciativas que fortalezcan la propuesta de valor y la actividad comercial del negocio agrícola en Colombia.
Requisitos
Estudiante de programas técnicos, tecnológicos en Mercadeo
Contar con aval de la institución educativa para realizar práctica bajo contrato de aprendizaje SENA.
Manejo intermedio de herramientas de Microsoft Office, especialmente Excel.
Atención al detalle, orientación a resultados y capacidad de análisis.
Condiciones
📍 Ubicación: Bogotá
 🕒 Horario: Lunes a viernes de 8:00 a.m. a 5:00 p.m.
 🏠 Modalidad híbrida: 1 día de trabajo en casa a la semana.
 📄 Tipo de contrato: Contrato de aprendizaje SENA.
 💰 Apoyo de sostenimiento según normativa vigente.
 🍽️ Beneficio de casino.
¡Únete a BASF y comienza tu desarrollo profesional en una compañía global comprometida con la innovación y el crecimiento de las personas!</v>
      </c>
      <c r="E93" s="7" t="str">
        <f>IFERROR(__xludf.DUMMYFUNCTION("""COMPUTED_VALUE"""),"Si")</f>
        <v>Si</v>
      </c>
      <c r="F93" s="6" t="str">
        <f>IFERROR(__xludf.DUMMYFUNCTION("""COMPUTED_VALUE"""),"Bogotá (Chia, Cota, Sopó, Cajicá y alrededores)")</f>
        <v>Bogotá (Chia, Cota, Sopó, Cajicá y alrededores)</v>
      </c>
      <c r="G93" s="6" t="str">
        <f>IFERROR(__xludf.DUMMYFUNCTION("""COMPUTED_VALUE"""),"Mercadeo y Publicidad")</f>
        <v>Mercadeo y Publicidad</v>
      </c>
      <c r="H93" s="6" t="str">
        <f>IFERROR(__xludf.DUMMYFUNCTION("""COMPUTED_VALUE"""),"1 SMMLV")</f>
        <v>1 SMMLV</v>
      </c>
      <c r="I93" s="8">
        <f>IFERROR(__xludf.DUMMYFUNCTION("""COMPUTED_VALUE"""),46273.0)</f>
        <v>46273</v>
      </c>
      <c r="J93" s="8">
        <f>IFERROR(__xludf.DUMMYFUNCTION("""COMPUTED_VALUE"""),46311.0)</f>
        <v>46311</v>
      </c>
      <c r="K93" s="7" t="str">
        <f>IFERROR(__xludf.DUMMYFUNCTION("""COMPUTED_VALUE"""),"natali.a.diaz@basf.com")</f>
        <v>natali.a.diaz@basf.com</v>
      </c>
      <c r="L93" s="3"/>
      <c r="M93" s="3"/>
      <c r="N93" s="3"/>
      <c r="O93" s="3"/>
      <c r="P93" s="3"/>
      <c r="Q93" s="3"/>
      <c r="R93" s="3"/>
      <c r="S93" s="3"/>
      <c r="T93" s="3"/>
      <c r="U93" s="3"/>
      <c r="V93" s="3"/>
      <c r="W93" s="3"/>
      <c r="X93" s="3"/>
      <c r="Y93" s="3"/>
    </row>
    <row r="94">
      <c r="A94" s="6" t="str">
        <f>IFERROR(__xludf.DUMMYFUNCTION("""COMPUTED_VALUE"""),"BASF AGRICULTURAL SOLUTIONS COLOMBIA S.A.S")</f>
        <v>BASF AGRICULTURAL SOLUTIONS COLOMBIA S.A.S</v>
      </c>
      <c r="B94" s="6" t="str">
        <f>IFERROR(__xludf.DUMMYFUNCTION("""COMPUTED_VALUE"""),"Ciclo tecnológico")</f>
        <v>Ciclo tecnológico</v>
      </c>
      <c r="C94" s="6" t="str">
        <f>IFERROR(__xludf.DUMMYFUNCTION("""COMPUTED_VALUE"""),"Tecnología en Procesos Químicos Industriales, Tecnología en Gestión Ambiental")</f>
        <v>Tecnología en Procesos Químicos Industriales, Tecnología en Gestión Ambiental</v>
      </c>
      <c r="D94" s="6" t="str">
        <f>IFERROR(__xludf.DUMMYFUNCTION("""COMPUTED_VALUE"""),"En BASF, desarrollamos soluciones innovadoras para la agricultura, contribuyendo al equilibrio entre las necesidades de los agricultores, la sostenibilidad del campo y las generaciones futuras. Buscamos un(a) Practicante de Contabilidad que quiera adquiri"&amp;"r experiencia en un entorno dinámico y retador.
¿Cuál será tu misión?
Brindar apoyo al área de Asuntos Regulatorios de Colombia y Ecuador en la ejecución de actividades operativas y administrativas, contribuyendo a la actualización y mantenimiento de ba"&amp;"ses de datos y archivos de seguimiento, la revisión de etiquetas, y el acompañamiento en los procesos de elaboración, revisión y entrega de informes ambientales, asegurando la organización, calidad y cumplimiento de los requerimientos regulatorios del áre"&amp;"a.
Requisitos
Estudiante de programas técnicos, tecnológicos en Ambiental o Química
Contar con aval de la institución educativa para realizar práctica bajo contrato de aprendizaje SENA.
Manejo básico de herramientas de Microsoft Office, especialmente Exc"&amp;"el.
Atención al detalle, orientación a resultados y capacidad de análisis.
Condiciones
📍 Ubicación: Bogotá
 🕒 Horario: Lunes a viernes de 8:00 a.m. a 5:00 p.m.
 🏠 Modalidad híbrida: 1 día de trabajo en casa a la semana.
 📄 Tipo de contrato: Contrato "&amp;"de aprendizaje SENA.
 💰 Apoyo de sostenimiento según normativa vigente.
 🍽️ Beneficio de casino.
¡Únete a BASF y comienza tu desarrollo profesional en una compañía global comprometida con la innovación y el crecimiento de las personas!")</f>
        <v>En BASF, desarrollamos soluciones innovadoras para la agricultura, contribuyendo al equilibrio entre las necesidades de los agricultores, la sostenibilidad del campo y las generaciones futuras. Buscamos un(a) Practicante de Contabilidad que quiera adquirir experiencia en un entorno dinámico y retador.
¿Cuál será tu misión?
Brindar apoyo al área de Asuntos Regulatorios de Colombia y Ecuador en la ejecución de actividades operativas y administrativas, contribuyendo a la actualización y mantenimiento de bases de datos y archivos de seguimiento, la revisión de etiquetas, y el acompañamiento en los procesos de elaboración, revisión y entrega de informes ambientales, asegurando la organización, calidad y cumplimiento de los requerimientos regulatorios del área.
Requisitos
Estudiante de programas técnicos, tecnológicos en Ambiental o Química
Contar con aval de la institución educativa para realizar práctica bajo contrato de aprendizaje SENA.
Manejo básico de herramientas de Microsoft Office, especialmente Excel.
Atención al detalle, orientación a resultados y capacidad de análisis.
Condiciones
📍 Ubicación: Bogotá
 🕒 Horario: Lunes a viernes de 8:00 a.m. a 5:00 p.m.
 🏠 Modalidad híbrida: 1 día de trabajo en casa a la semana.
 📄 Tipo de contrato: Contrato de aprendizaje SENA.
 💰 Apoyo de sostenimiento según normativa vigente.
 🍽️ Beneficio de casino.
¡Únete a BASF y comienza tu desarrollo profesional en una compañía global comprometida con la innovación y el crecimiento de las personas!</v>
      </c>
      <c r="E94" s="7" t="str">
        <f>IFERROR(__xludf.DUMMYFUNCTION("""COMPUTED_VALUE"""),"Si")</f>
        <v>Si</v>
      </c>
      <c r="F94" s="6" t="str">
        <f>IFERROR(__xludf.DUMMYFUNCTION("""COMPUTED_VALUE"""),"Bogotá (Chia, Cota, Sopó, Cajicá y alrededores)")</f>
        <v>Bogotá (Chia, Cota, Sopó, Cajicá y alrededores)</v>
      </c>
      <c r="G94" s="6" t="str">
        <f>IFERROR(__xludf.DUMMYFUNCTION("""COMPUTED_VALUE"""),"Ingeniería Química, Ingeniería Ambiental")</f>
        <v>Ingeniería Química, Ingeniería Ambiental</v>
      </c>
      <c r="H94" s="6" t="str">
        <f>IFERROR(__xludf.DUMMYFUNCTION("""COMPUTED_VALUE"""),"1 SMMLV")</f>
        <v>1 SMMLV</v>
      </c>
      <c r="I94" s="8">
        <f>IFERROR(__xludf.DUMMYFUNCTION("""COMPUTED_VALUE"""),46273.0)</f>
        <v>46273</v>
      </c>
      <c r="J94" s="8">
        <f>IFERROR(__xludf.DUMMYFUNCTION("""COMPUTED_VALUE"""),46311.0)</f>
        <v>46311</v>
      </c>
      <c r="K94" s="7" t="str">
        <f>IFERROR(__xludf.DUMMYFUNCTION("""COMPUTED_VALUE"""),"natali.a.diaz@basf.com")</f>
        <v>natali.a.diaz@basf.com</v>
      </c>
      <c r="L94" s="3"/>
      <c r="M94" s="3"/>
      <c r="N94" s="3"/>
      <c r="O94" s="3"/>
      <c r="P94" s="3"/>
      <c r="Q94" s="3"/>
      <c r="R94" s="3"/>
      <c r="S94" s="3"/>
      <c r="T94" s="3"/>
      <c r="U94" s="3"/>
      <c r="V94" s="3"/>
      <c r="W94" s="3"/>
      <c r="X94" s="3"/>
      <c r="Y94" s="3"/>
    </row>
    <row r="95">
      <c r="A95" s="6" t="str">
        <f>IFERROR(__xludf.DUMMYFUNCTION("""COMPUTED_VALUE"""),"POLY MACHINERY GROUP S.A.S.")</f>
        <v>POLY MACHINERY GROUP S.A.S.</v>
      </c>
      <c r="B95" s="6" t="str">
        <f>IFERROR(__xludf.DUMMYFUNCTION("""COMPUTED_VALUE"""),"Ciclo tecnológico")</f>
        <v>Ciclo tecnológico</v>
      </c>
      <c r="C95" s="6" t="str">
        <f>IFERROR(__xludf.DUMMYFUNCTION("""COMPUTED_VALUE"""),"Tecnología en Gestión de Comercio Exterior")</f>
        <v>Tecnología en Gestión de Comercio Exterior</v>
      </c>
      <c r="D95" s="6" t="str">
        <f>IFERROR(__xludf.DUMMYFUNCTION("""COMPUTED_VALUE"""),"Tecnólogo en Comercio Exterior Logística para procesos de importación, Conocimiento de documentos de comercio exterior, Seguimiento de embarques, Coordinación con agentes de carga y agencias de aduana, Manejo de Excel, Inglés básico.")</f>
        <v>Tecnólogo en Comercio Exterior Logística para procesos de importación, Conocimiento de documentos de comercio exterior, Seguimiento de embarques, Coordinación con agentes de carga y agencias de aduana, Manejo de Excel, Inglés básico.</v>
      </c>
      <c r="E95" s="7" t="str">
        <f>IFERROR(__xludf.DUMMYFUNCTION("""COMPUTED_VALUE"""),"No")</f>
        <v>No</v>
      </c>
      <c r="F95" s="6" t="str">
        <f>IFERROR(__xludf.DUMMYFUNCTION("""COMPUTED_VALUE"""),"Bogotá (Chia, Cota, Sopó, Cajicá y alrededores)")</f>
        <v>Bogotá (Chia, Cota, Sopó, Cajicá y alrededores)</v>
      </c>
      <c r="G95" s="6" t="str">
        <f>IFERROR(__xludf.DUMMYFUNCTION("""COMPUTED_VALUE"""),"Comercio Internacional")</f>
        <v>Comercio Internacional</v>
      </c>
      <c r="H95" s="6" t="str">
        <f>IFERROR(__xludf.DUMMYFUNCTION("""COMPUTED_VALUE"""),"1 SMMLV")</f>
        <v>1 SMMLV</v>
      </c>
      <c r="I95" s="8">
        <f>IFERROR(__xludf.DUMMYFUNCTION("""COMPUTED_VALUE"""),46274.0)</f>
        <v>46274</v>
      </c>
      <c r="J95" s="8">
        <f>IFERROR(__xludf.DUMMYFUNCTION("""COMPUTED_VALUE"""),46387.0)</f>
        <v>46387</v>
      </c>
      <c r="K95" s="7" t="str">
        <f>IFERROR(__xludf.DUMMYFUNCTION("""COMPUTED_VALUE"""),"yeferson.ramos@polypmg.com")</f>
        <v>yeferson.ramos@polypmg.com</v>
      </c>
      <c r="L95" s="3"/>
      <c r="M95" s="3"/>
      <c r="N95" s="3"/>
      <c r="O95" s="3"/>
      <c r="P95" s="3"/>
      <c r="Q95" s="3"/>
      <c r="R95" s="3"/>
      <c r="S95" s="3"/>
      <c r="T95" s="3"/>
      <c r="U95" s="3"/>
      <c r="V95" s="3"/>
      <c r="W95" s="3"/>
      <c r="X95" s="3"/>
      <c r="Y95" s="3"/>
    </row>
    <row r="96">
      <c r="A96" s="6" t="str">
        <f>IFERROR(__xludf.DUMMYFUNCTION("""COMPUTED_VALUE"""),"NUESTRA COCINA ARTENSAL - PARMESSANO")</f>
        <v>NUESTRA COCINA ARTENSAL - PARMESSANO</v>
      </c>
      <c r="B96" s="6" t="str">
        <f>IFERROR(__xludf.DUMMYFUNCTION("""COMPUTED_VALUE"""),"Ciclo tecnológico")</f>
        <v>Ciclo tecnológico</v>
      </c>
      <c r="C96" s="6" t="str">
        <f>IFERROR(__xludf.DUMMYFUNCTION("""COMPUTED_VALUE"""),"Tecnología en Gestión Gastronómica")</f>
        <v>Tecnología en Gestión Gastronómica</v>
      </c>
      <c r="D96" s="6" t="str">
        <f>IFERROR(__xludf.DUMMYFUNCTION("""COMPUTED_VALUE"""),"Practicantes cuota sena en gastronomia por crecimiento de la empresa en la ciudad de bogota")</f>
        <v>Practicantes cuota sena en gastronomia por crecimiento de la empresa en la ciudad de bogota</v>
      </c>
      <c r="E96" s="7" t="str">
        <f>IFERROR(__xludf.DUMMYFUNCTION("""COMPUTED_VALUE"""),"Si")</f>
        <v>Si</v>
      </c>
      <c r="F96" s="6" t="str">
        <f>IFERROR(__xludf.DUMMYFUNCTION("""COMPUTED_VALUE"""),"Bogotá (Chia, Cota, Sopó, Cajicá y alrededores)")</f>
        <v>Bogotá (Chia, Cota, Sopó, Cajicá y alrededores)</v>
      </c>
      <c r="G96" s="6" t="str">
        <f>IFERROR(__xludf.DUMMYFUNCTION("""COMPUTED_VALUE"""),"Gastronomía")</f>
        <v>Gastronomía</v>
      </c>
      <c r="H96" s="6" t="str">
        <f>IFERROR(__xludf.DUMMYFUNCTION("""COMPUTED_VALUE"""),"1 SMMLV")</f>
        <v>1 SMMLV</v>
      </c>
      <c r="I96" s="8">
        <f>IFERROR(__xludf.DUMMYFUNCTION("""COMPUTED_VALUE"""),46274.0)</f>
        <v>46274</v>
      </c>
      <c r="J96" s="8">
        <f>IFERROR(__xludf.DUMMYFUNCTION("""COMPUTED_VALUE"""),46310.0)</f>
        <v>46310</v>
      </c>
      <c r="K96" s="7" t="str">
        <f>IFERROR(__xludf.DUMMYFUNCTION("""COMPUTED_VALUE"""),"lina_calderon@nca.com.co")</f>
        <v>lina_calderon@nca.com.co</v>
      </c>
      <c r="L96" s="3"/>
      <c r="M96" s="3"/>
      <c r="N96" s="3"/>
      <c r="O96" s="3"/>
      <c r="P96" s="3"/>
      <c r="Q96" s="3"/>
      <c r="R96" s="3"/>
      <c r="S96" s="3"/>
      <c r="T96" s="3"/>
      <c r="U96" s="3"/>
      <c r="V96" s="3"/>
      <c r="W96" s="3"/>
      <c r="X96" s="3"/>
      <c r="Y96" s="3"/>
    </row>
    <row r="97">
      <c r="A97" s="6" t="str">
        <f>IFERROR(__xludf.DUMMYFUNCTION("""COMPUTED_VALUE"""),"AGROPECUARIA ALIAR S.A")</f>
        <v>AGROPECUARIA ALIAR S.A</v>
      </c>
      <c r="B97" s="6" t="str">
        <f>IFERROR(__xludf.DUMMYFUNCTION("""COMPUTED_VALUE"""),"Ciclo tecnológico")</f>
        <v>Ciclo tecnológico</v>
      </c>
      <c r="C97" s="6" t="str">
        <f>IFERROR(__xludf.DUMMYFUNCTION("""COMPUTED_VALUE"""),"Tecnología en Mercadeo y Diseño Publicitario")</f>
        <v>Tecnología en Mercadeo y Diseño Publicitario</v>
      </c>
      <c r="D97" s="6" t="str">
        <f>IFERROR(__xludf.DUMMYFUNCTION("""COMPUTED_VALUE"""),"Importante empresa de alimentos, requiere para su equipo de trabajo estudiantes Técnicos o Tecnólogos en areas de mercadeo que estén próximos a realizar su práctica, ")</f>
        <v>Importante empresa de alimentos, requiere para su equipo de trabajo estudiantes Técnicos o Tecnólogos en areas de mercadeo que estén próximos a realizar su práctica, </v>
      </c>
      <c r="E97" s="7" t="str">
        <f>IFERROR(__xludf.DUMMYFUNCTION("""COMPUTED_VALUE"""),"Si")</f>
        <v>Si</v>
      </c>
      <c r="F97" s="6" t="str">
        <f>IFERROR(__xludf.DUMMYFUNCTION("""COMPUTED_VALUE"""),"Bogotá (Chia, Cota, Sopó, Cajicá y alrededores)")</f>
        <v>Bogotá (Chia, Cota, Sopó, Cajicá y alrededores)</v>
      </c>
      <c r="G97" s="6" t="str">
        <f>IFERROR(__xludf.DUMMYFUNCTION("""COMPUTED_VALUE"""),"Mercadeo y Publicidad")</f>
        <v>Mercadeo y Publicidad</v>
      </c>
      <c r="H97" s="6" t="str">
        <f>IFERROR(__xludf.DUMMYFUNCTION("""COMPUTED_VALUE"""),"1 SMMLV")</f>
        <v>1 SMMLV</v>
      </c>
      <c r="I97" s="8">
        <f>IFERROR(__xludf.DUMMYFUNCTION("""COMPUTED_VALUE"""),46275.0)</f>
        <v>46275</v>
      </c>
      <c r="J97" s="8">
        <f>IFERROR(__xludf.DUMMYFUNCTION("""COMPUTED_VALUE"""),46316.0)</f>
        <v>46316</v>
      </c>
      <c r="K97" s="7" t="str">
        <f>IFERROR(__xludf.DUMMYFUNCTION("""COMPUTED_VALUE"""),"pas3.ghumana.cun.aliar@gmail.com")</f>
        <v>pas3.ghumana.cun.aliar@gmail.com</v>
      </c>
      <c r="L97" s="3"/>
      <c r="M97" s="3"/>
      <c r="N97" s="3"/>
      <c r="O97" s="3"/>
      <c r="P97" s="3"/>
      <c r="Q97" s="3"/>
      <c r="R97" s="3"/>
      <c r="S97" s="3"/>
      <c r="T97" s="3"/>
      <c r="U97" s="3"/>
      <c r="V97" s="3"/>
      <c r="W97" s="3"/>
      <c r="X97" s="3"/>
      <c r="Y97" s="3"/>
    </row>
    <row r="98">
      <c r="A98" s="6" t="str">
        <f>IFERROR(__xludf.DUMMYFUNCTION("""COMPUTED_VALUE"""),"DNA INVERSIONES SAS ")</f>
        <v>DNA INVERSIONES SAS </v>
      </c>
      <c r="B98" s="6" t="str">
        <f>IFERROR(__xludf.DUMMYFUNCTION("""COMPUTED_VALUE"""),"Ciclo tecnológico")</f>
        <v>Ciclo tecnológico</v>
      </c>
      <c r="C98" s="6" t="str">
        <f>IFERROR(__xludf.DUMMYFUNCTION("""COMPUTED_VALUE"""),"Tecnología en Mercadeo y Diseño Publicitario, Tecnología en Gestión de Comercio Exterior")</f>
        <v>Tecnología en Mercadeo y Diseño Publicitario, Tecnología en Gestión de Comercio Exterior</v>
      </c>
      <c r="D98" s="6" t="str">
        <f>IFERROR(__xludf.DUMMYFUNCTION("""COMPUTED_VALUE"""),"En DNA Music buscamos un aprendiz que quiera desarrollar sus habilidades de comunicación, servicio y seguimiento comercial, acompañando a personas interesadas en iniciar su formación musical.
¿Qué harás?
Contactarás personas interesadas por teléfono, What"&amp;"sApp y correo.
Brindarás información sobre nuestros programas académicos.
Orientarás a los aspirantes durante su proceso de inscripción y matrícula.
Realizarás seguimiento comercial.
Actualizarás información en bases de datos y CRM.
Apoyarás campañas come"&amp;"rciales y actividades de captación.
Elaborarás reportes básicos de gestión.")</f>
        <v>En DNA Music buscamos un aprendiz que quiera desarrollar sus habilidades de comunicación, servicio y seguimiento comercial, acompañando a personas interesadas en iniciar su formación musical.
¿Qué harás?
Contactarás personas interesadas por teléfono, WhatsApp y correo.
Brindarás información sobre nuestros programas académicos.
Orientarás a los aspirantes durante su proceso de inscripción y matrícula.
Realizarás seguimiento comercial.
Actualizarás información en bases de datos y CRM.
Apoyarás campañas comerciales y actividades de captación.
Elaborarás reportes básicos de gestión.</v>
      </c>
      <c r="E98" s="7" t="str">
        <f>IFERROR(__xludf.DUMMYFUNCTION("""COMPUTED_VALUE"""),"No")</f>
        <v>No</v>
      </c>
      <c r="F98" s="6" t="str">
        <f>IFERROR(__xludf.DUMMYFUNCTION("""COMPUTED_VALUE"""),"Bogotá (Chia, Cota, Sopó, Cajicá y alrededores)")</f>
        <v>Bogotá (Chia, Cota, Sopó, Cajicá y alrededores)</v>
      </c>
      <c r="G98" s="6" t="str">
        <f>IFERROR(__xludf.DUMMYFUNCTION("""COMPUTED_VALUE"""),"Mercadeo y Publicidad, Comercio Internacional, Administración de Empresas Virtual")</f>
        <v>Mercadeo y Publicidad, Comercio Internacional, Administración de Empresas Virtual</v>
      </c>
      <c r="H98" s="6" t="str">
        <f>IFERROR(__xludf.DUMMYFUNCTION("""COMPUTED_VALUE"""),"1 SMMLV")</f>
        <v>1 SMMLV</v>
      </c>
      <c r="I98" s="8">
        <f>IFERROR(__xludf.DUMMYFUNCTION("""COMPUTED_VALUE"""),46275.0)</f>
        <v>46275</v>
      </c>
      <c r="J98" s="8">
        <f>IFERROR(__xludf.DUMMYFUNCTION("""COMPUTED_VALUE"""),46295.0)</f>
        <v>46295</v>
      </c>
      <c r="K98" s="7" t="str">
        <f>IFERROR(__xludf.DUMMYFUNCTION("""COMPUTED_VALUE"""),"carolpaipilla@dnamusic.edu.co")</f>
        <v>carolpaipilla@dnamusic.edu.co</v>
      </c>
      <c r="L98" s="3"/>
      <c r="M98" s="3"/>
      <c r="N98" s="3"/>
      <c r="O98" s="3"/>
      <c r="P98" s="3"/>
      <c r="Q98" s="3"/>
      <c r="R98" s="3"/>
      <c r="S98" s="3"/>
      <c r="T98" s="3"/>
      <c r="U98" s="3"/>
      <c r="V98" s="3"/>
      <c r="W98" s="3"/>
      <c r="X98" s="3"/>
      <c r="Y98" s="3"/>
    </row>
    <row r="99">
      <c r="A99" s="6" t="str">
        <f>IFERROR(__xludf.DUMMYFUNCTION("""COMPUTED_VALUE"""),"CONSULTORES ASOCIADOS SQC SAS")</f>
        <v>CONSULTORES ASOCIADOS SQC SAS</v>
      </c>
      <c r="B99" s="6" t="str">
        <f>IFERROR(__xludf.DUMMYFUNCTION("""COMPUTED_VALUE"""),"Ciclo profesional")</f>
        <v>Ciclo profesional</v>
      </c>
      <c r="C99" s="6" t="str">
        <f>IFERROR(__xludf.DUMMYFUNCTION("""COMPUTED_VALUE"""),"No aplica")</f>
        <v>No aplica</v>
      </c>
      <c r="D99" s="6" t="str">
        <f>IFERROR(__xludf.DUMMYFUNCTION("""COMPUTED_VALUE"""),"Empresa de Consultoria en Gestión de Activos, HSEQ y Sostenibilidad aplicada a proyectos con software SAP requiere ingenieros industriales o afines para participar en proyectos industriales en Colombia y Latinoamerica")</f>
        <v>Empresa de Consultoria en Gestión de Activos, HSEQ y Sostenibilidad aplicada a proyectos con software SAP requiere ingenieros industriales o afines para participar en proyectos industriales en Colombia y Latinoamerica</v>
      </c>
      <c r="E99" s="7" t="str">
        <f>IFERROR(__xludf.DUMMYFUNCTION("""COMPUTED_VALUE"""),"Si")</f>
        <v>Si</v>
      </c>
      <c r="F99" s="6" t="str">
        <f>IFERROR(__xludf.DUMMYFUNCTION("""COMPUTED_VALUE"""),"Bogotá (Chia, Cota, Sopó, Cajicá y alrededores)")</f>
        <v>Bogotá (Chia, Cota, Sopó, Cajicá y alrededores)</v>
      </c>
      <c r="G99" s="6" t="str">
        <f>IFERROR(__xludf.DUMMYFUNCTION("""COMPUTED_VALUE"""),"Ingeniería Industrial")</f>
        <v>Ingeniería Industrial</v>
      </c>
      <c r="H99" s="6" t="str">
        <f>IFERROR(__xludf.DUMMYFUNCTION("""COMPUTED_VALUE"""),"1 SMMLV")</f>
        <v>1 SMMLV</v>
      </c>
      <c r="I99" s="8">
        <f>IFERROR(__xludf.DUMMYFUNCTION("""COMPUTED_VALUE"""),46275.0)</f>
        <v>46275</v>
      </c>
      <c r="J99" s="8">
        <f>IFERROR(__xludf.DUMMYFUNCTION("""COMPUTED_VALUE"""),46295.0)</f>
        <v>46295</v>
      </c>
      <c r="K99" s="7" t="str">
        <f>IFERROR(__xludf.DUMMYFUNCTION("""COMPUTED_VALUE"""),"contacto@conasociados.com")</f>
        <v>contacto@conasociados.com</v>
      </c>
      <c r="L99" s="3"/>
      <c r="M99" s="3"/>
      <c r="N99" s="3"/>
      <c r="O99" s="3"/>
      <c r="P99" s="3"/>
      <c r="Q99" s="3"/>
      <c r="R99" s="3"/>
      <c r="S99" s="3"/>
      <c r="T99" s="3"/>
      <c r="U99" s="3"/>
      <c r="V99" s="3"/>
      <c r="W99" s="3"/>
      <c r="X99" s="3"/>
      <c r="Y99" s="3"/>
    </row>
    <row r="100">
      <c r="A100" s="6" t="str">
        <f>IFERROR(__xludf.DUMMYFUNCTION("""COMPUTED_VALUE"""),"DANONE BABY NUTRITION COLOMBIA S.A.S")</f>
        <v>DANONE BABY NUTRITION COLOMBIA S.A.S</v>
      </c>
      <c r="B100" s="6" t="str">
        <f>IFERROR(__xludf.DUMMYFUNCTION("""COMPUTED_VALUE"""),"Ciclo tecnológico")</f>
        <v>Ciclo tecnológico</v>
      </c>
      <c r="C100" s="6" t="str">
        <f>IFERROR(__xludf.DUMMYFUNCTION("""COMPUTED_VALUE"""),"Tecnología en Mercadeo y Diseño Publicitario")</f>
        <v>Tecnología en Mercadeo y Diseño Publicitario</v>
      </c>
      <c r="D100" s="6" t="str">
        <f>IFERROR(__xludf.DUMMYFUNCTION("""COMPUTED_VALUE"""),"Empresa de alimentos de uso insitucional y medico (Danone Baby Nutrition Colombia S.A.S) busca practicante de nivel Técnico o Tecnólogo en Mercadeo, Marketing, Publicidad, Administración o áreas afines para apoyar los procesos del área de Marketing.
La pe"&amp;"rsona brindará soporte en la gestión de materiales promocionales, seguimiento de requisiciones, coordinación de envíos, organización de eventos, control de órdenes de compra y actividades administrativas relacionadas con campañas y posicionamiento de marc"&amp;"a.
Buscamos estudiantes con actitud de aprendizaje, habilidades de organización, atención al detalle y manejo básico de herramientas ofimáticas.​‌
Ubicación: Bogotá. AK 7 #155C-30
Horario: Horario administrativo. Lunes a jueves de 7am a 4:30pm, Viernes de"&amp;" 7am a 2pm
Modalidad: Contrato de aprendizaje.")</f>
        <v>Empresa de alimentos de uso insitucional y medico (Danone Baby Nutrition Colombia S.A.S) busca practicante de nivel Técnico o Tecnólogo en Mercadeo, Marketing, Publicidad, Administración o áreas afines para apoyar los procesos del área de Marketing.
La persona brindará soporte en la gestión de materiales promocionales, seguimiento de requisiciones, coordinación de envíos, organización de eventos, control de órdenes de compra y actividades administrativas relacionadas con campañas y posicionamiento de marca.
Buscamos estudiantes con actitud de aprendizaje, habilidades de organización, atención al detalle y manejo básico de herramientas ofimáticas.​‌
Ubicación: Bogotá. AK 7 #155C-30
Horario: Horario administrativo. Lunes a jueves de 7am a 4:30pm, Viernes de 7am a 2pm
Modalidad: Contrato de aprendizaje.</v>
      </c>
      <c r="E100" s="7" t="str">
        <f>IFERROR(__xludf.DUMMYFUNCTION("""COMPUTED_VALUE"""),"Si")</f>
        <v>Si</v>
      </c>
      <c r="F100" s="6" t="str">
        <f>IFERROR(__xludf.DUMMYFUNCTION("""COMPUTED_VALUE"""),"Bogotá (Chia, Cota, Sopó, Cajicá y alrededores)")</f>
        <v>Bogotá (Chia, Cota, Sopó, Cajicá y alrededores)</v>
      </c>
      <c r="G100" s="6" t="str">
        <f>IFERROR(__xludf.DUMMYFUNCTION("""COMPUTED_VALUE"""),"Mercadeo y Publicidad")</f>
        <v>Mercadeo y Publicidad</v>
      </c>
      <c r="H100" s="6" t="str">
        <f>IFERROR(__xludf.DUMMYFUNCTION("""COMPUTED_VALUE"""),"1 SMMLV")</f>
        <v>1 SMMLV</v>
      </c>
      <c r="I100" s="8">
        <f>IFERROR(__xludf.DUMMYFUNCTION("""COMPUTED_VALUE"""),46276.0)</f>
        <v>46276</v>
      </c>
      <c r="J100" s="8">
        <f>IFERROR(__xludf.DUMMYFUNCTION("""COMPUTED_VALUE"""),46322.0)</f>
        <v>46322</v>
      </c>
      <c r="K100" s="7" t="str">
        <f>IFERROR(__xludf.DUMMYFUNCTION("""COMPUTED_VALUE"""),"juliana.trujillo@external.danone.com")</f>
        <v>juliana.trujillo@external.danone.com</v>
      </c>
      <c r="L100" s="3"/>
      <c r="M100" s="3"/>
      <c r="N100" s="3"/>
      <c r="O100" s="3"/>
      <c r="P100" s="3"/>
      <c r="Q100" s="3"/>
      <c r="R100" s="3"/>
      <c r="S100" s="3"/>
      <c r="T100" s="3"/>
      <c r="U100" s="3"/>
      <c r="V100" s="3"/>
      <c r="W100" s="3"/>
      <c r="X100" s="3"/>
      <c r="Y100" s="3"/>
    </row>
    <row r="101">
      <c r="A101" s="6" t="str">
        <f>IFERROR(__xludf.DUMMYFUNCTION("""COMPUTED_VALUE"""),"ACCIONES Y VALORES")</f>
        <v>ACCIONES Y VALORES</v>
      </c>
      <c r="B101" s="6" t="str">
        <f>IFERROR(__xludf.DUMMYFUNCTION("""COMPUTED_VALUE"""),"Ciclo profesional")</f>
        <v>Ciclo profesional</v>
      </c>
      <c r="C101" s="6" t="str">
        <f>IFERROR(__xludf.DUMMYFUNCTION("""COMPUTED_VALUE"""),"No aplica")</f>
        <v>No aplica</v>
      </c>
      <c r="D101" s="6" t="str">
        <f>IFERROR(__xludf.DUMMYFUNCTION("""COMPUTED_VALUE"""),"Entidad Financiera se encuentra en búsqueda de ESTUDIANTES UNIVERSITARIOS en Derecho que cuente con Aval para iniciar prácticas profesionales inmediatamente o durante lo que resta del 2026 o 2027-1.
Buscamos un estudiante profesional para apoyar la gesti"&amp;"ón legal de la entidad a través del análisis normativo, la revisión y estructuración de contratos de las diferentes áreas, y la verificación del cumplimiento regulatorio en procesos de sucesión. El candidato seleccionado apoyará en la asesoría jurídica in"&amp;"terna mediante la emisión de conceptos, elaborará boletines informativos sobre novedades regulatorias de los entes de control y gestionará de manera oportuna los requerimientos judiciales allegados. Asimismo, será responsable del seguimiento y actualizaci"&amp;"ón de los procesos de la coordinación legal, el mantenimiento de su sección en la página web institucional y las demás funciones afines asignadas por el área.
Ofrecemos Contrato de Aprendizaje, Pago: Salario Mínimo Legal Vigente + Afiliaciones a segurida"&amp;"d social + beneficios que regula la ley para este tipo de contrato.
Horario de Practica lunes a viernes, Pago: Mensual, y proyección laboral dentro de la compañía.
Recuerda que NO debes tener reportes negativos actuales vigentes en Centrales de Riesgo.
NO"&amp;" PROFESIONALES, UNICAMENTE ESTUDIANTES UNIVERSITARIOS en Derecho que cuente con Aval para iniciar prácticas profesionales.")</f>
        <v>Entidad Financiera se encuentra en búsqueda de ESTUDIANTES UNIVERSITARIOS en Derecho que cuente con Aval para iniciar prácticas profesionales inmediatamente o durante lo que resta del 2026 o 2027-1.
Buscamos un estudiante profesional para apoyar la gestión legal de la entidad a través del análisis normativo, la revisión y estructuración de contratos de las diferentes áreas, y la verificación del cumplimiento regulatorio en procesos de sucesión. El candidato seleccionado apoyará en la asesoría jurídica interna mediante la emisión de conceptos, elaborará boletines informativos sobre novedades regulatorias de los entes de control y gestionará de manera oportuna los requerimientos judiciales allegados. Asimismo, será responsable del seguimiento y actualización de los procesos de la coordinación legal, el mantenimiento de su sección en la página web institucional y las demás funciones afines asignadas por el área.
Ofrecemos Contrato de Aprendizaje, Pago: Salario Mínimo Legal Vigente + Afiliaciones a seguridad social + beneficios que regula la ley para este tipo de contrato.
Horario de Practica lunes a viernes, Pago: Mensual, y proyección laboral dentro de la compañía.
Recuerda que NO debes tener reportes negativos actuales vigentes en Centrales de Riesgo.
NO PROFESIONALES, UNICAMENTE ESTUDIANTES UNIVERSITARIOS en Derecho que cuente con Aval para iniciar prácticas profesionales.</v>
      </c>
      <c r="E101" s="7" t="str">
        <f>IFERROR(__xludf.DUMMYFUNCTION("""COMPUTED_VALUE"""),"No")</f>
        <v>No</v>
      </c>
      <c r="F101" s="6" t="str">
        <f>IFERROR(__xludf.DUMMYFUNCTION("""COMPUTED_VALUE"""),"Bogotá (Chia, Cota, Sopó, Cajicá y alrededores)")</f>
        <v>Bogotá (Chia, Cota, Sopó, Cajicá y alrededores)</v>
      </c>
      <c r="G101" s="6" t="str">
        <f>IFERROR(__xludf.DUMMYFUNCTION("""COMPUTED_VALUE"""),"Derecho")</f>
        <v>Derecho</v>
      </c>
      <c r="H101" s="6" t="str">
        <f>IFERROR(__xludf.DUMMYFUNCTION("""COMPUTED_VALUE"""),"1 SMMLV")</f>
        <v>1 SMMLV</v>
      </c>
      <c r="I101" s="8">
        <f>IFERROR(__xludf.DUMMYFUNCTION("""COMPUTED_VALUE"""),46276.0)</f>
        <v>46276</v>
      </c>
      <c r="J101" s="8">
        <f>IFERROR(__xludf.DUMMYFUNCTION("""COMPUTED_VALUE"""),46368.0)</f>
        <v>46368</v>
      </c>
      <c r="K101" s="7" t="str">
        <f>IFERROR(__xludf.DUMMYFUNCTION("""COMPUTED_VALUE"""),"mariana.sanchez@accivalores.com")</f>
        <v>mariana.sanchez@accivalores.com</v>
      </c>
      <c r="L101" s="3"/>
      <c r="M101" s="3"/>
      <c r="N101" s="3"/>
      <c r="O101" s="3"/>
      <c r="P101" s="3"/>
      <c r="Q101" s="3"/>
      <c r="R101" s="3"/>
      <c r="S101" s="3"/>
      <c r="T101" s="3"/>
      <c r="U101" s="3"/>
      <c r="V101" s="3"/>
      <c r="W101" s="3"/>
      <c r="X101" s="3"/>
      <c r="Y101" s="3"/>
    </row>
    <row r="102">
      <c r="A102" s="6" t="str">
        <f>IFERROR(__xludf.DUMMYFUNCTION("""COMPUTED_VALUE"""),"FALCON PUBLICIDAD SAS")</f>
        <v>FALCON PUBLICIDAD SAS</v>
      </c>
      <c r="B102" s="6" t="str">
        <f>IFERROR(__xludf.DUMMYFUNCTION("""COMPUTED_VALUE"""),"Ciclo tecnológico")</f>
        <v>Ciclo tecnológico</v>
      </c>
      <c r="C102" s="6" t="str">
        <f>IFERROR(__xludf.DUMMYFUNCTION("""COMPUTED_VALUE"""),"Tecnología en Gestión de Procesos Industriales")</f>
        <v>Tecnología en Gestión de Procesos Industriales</v>
      </c>
      <c r="D102" s="6" t="str">
        <f>IFERROR(__xludf.DUMMYFUNCTION("""COMPUTED_VALUE"""),"Actualmente buscamos vincular un aprendiz o practicante que se encuentre habilitado para iniciar su etapa productiva, preferiblemente mediante contrato de aprendizaje aplicable a cuota SENA.
La vacante es presencial en Bogotá y está dirigida a estudiante"&amp;"s de programas técnicos, tecnológicos o profesionales relacionados con:
Gestión u operaciones logísticas.
Producción industrial o gestión de la producción.
Gestión administrativa.
Ingeniería Industrial.
Procesos empresariales o áreas afines.
El estudiant"&amp;"e apoyará el seguimiento de órdenes de producción, comunicación con proveedores, control de inventarios, alistamiento de materiales, despachos, documentación operativa y mejora de los controles internos.")</f>
        <v>Actualmente buscamos vincular un aprendiz o practicante que se encuentre habilitado para iniciar su etapa productiva, preferiblemente mediante contrato de aprendizaje aplicable a cuota SENA.
La vacante es presencial en Bogotá y está dirigida a estudiantes de programas técnicos, tecnológicos o profesionales relacionados con:
Gestión u operaciones logísticas.
Producción industrial o gestión de la producción.
Gestión administrativa.
Ingeniería Industrial.
Procesos empresariales o áreas afines.
El estudiante apoyará el seguimiento de órdenes de producción, comunicación con proveedores, control de inventarios, alistamiento de materiales, despachos, documentación operativa y mejora de los controles internos.</v>
      </c>
      <c r="E102" s="7" t="str">
        <f>IFERROR(__xludf.DUMMYFUNCTION("""COMPUTED_VALUE"""),"No")</f>
        <v>No</v>
      </c>
      <c r="F102" s="6" t="str">
        <f>IFERROR(__xludf.DUMMYFUNCTION("""COMPUTED_VALUE"""),"Bogotá (Chia, Cota, Sopó, Cajicá y alrededores)")</f>
        <v>Bogotá (Chia, Cota, Sopó, Cajicá y alrededores)</v>
      </c>
      <c r="G102" s="6" t="str">
        <f>IFERROR(__xludf.DUMMYFUNCTION("""COMPUTED_VALUE"""),"Mercadeo y Publicidad, Administración de Empresas Virtual, Ingeniería Industrial")</f>
        <v>Mercadeo y Publicidad, Administración de Empresas Virtual, Ingeniería Industrial</v>
      </c>
      <c r="H102" s="6" t="str">
        <f>IFERROR(__xludf.DUMMYFUNCTION("""COMPUTED_VALUE"""),"1 SMMLV")</f>
        <v>1 SMMLV</v>
      </c>
      <c r="I102" s="8">
        <f>IFERROR(__xludf.DUMMYFUNCTION("""COMPUTED_VALUE"""),46276.0)</f>
        <v>46276</v>
      </c>
      <c r="J102" s="8">
        <f>IFERROR(__xludf.DUMMYFUNCTION("""COMPUTED_VALUE"""),46326.0)</f>
        <v>46326</v>
      </c>
      <c r="K102" s="7" t="str">
        <f>IFERROR(__xludf.DUMMYFUNCTION("""COMPUTED_VALUE"""),"falcon.inteligenciadenegocios@gmail.com")</f>
        <v>falcon.inteligenciadenegocios@gmail.com</v>
      </c>
      <c r="L102" s="3"/>
      <c r="M102" s="3"/>
      <c r="N102" s="3"/>
      <c r="O102" s="3"/>
      <c r="P102" s="3"/>
      <c r="Q102" s="3"/>
      <c r="R102" s="3"/>
      <c r="S102" s="3"/>
      <c r="T102" s="3"/>
      <c r="U102" s="3"/>
      <c r="V102" s="3"/>
      <c r="W102" s="3"/>
      <c r="X102" s="3"/>
      <c r="Y102" s="3"/>
    </row>
    <row r="103">
      <c r="A103" s="6" t="str">
        <f>IFERROR(__xludf.DUMMYFUNCTION("""COMPUTED_VALUE"""),"PROINTIMO SAS")</f>
        <v>PROINTIMO SAS</v>
      </c>
      <c r="B103" s="6" t="str">
        <f>IFERROR(__xludf.DUMMYFUNCTION("""COMPUTED_VALUE"""),"Ciclo tecnológico")</f>
        <v>Ciclo tecnológico</v>
      </c>
      <c r="C103" s="6" t="str">
        <f>IFERROR(__xludf.DUMMYFUNCTION("""COMPUTED_VALUE"""),"Tecnología en Gestión de Procesos Industriales")</f>
        <v>Tecnología en Gestión de Procesos Industriales</v>
      </c>
      <c r="D103" s="6" t="str">
        <f>IFERROR(__xludf.DUMMYFUNCTION("""COMPUTED_VALUE"""),"Empresa del sector textil requiere para su area de ingeniería estudiantes de areas afines a la producción industrial para desempeñar el cargo de aprendiz sena. el tiempo del contrato es de 6 meses a un año de acuerdo a los requerimientos de la institución"&amp;" o programa, algunas de sus funciones estarán orientadas a: Realizar toma de tiempos y observación de métodos de trabajo para apoyar estudios de productividad.
Consolidar, analizar y actualizar información relacionada con indicadores de producción, eficie"&amp;"ncia y cumplimiento.
Apoyar el seguimiento al balanceo de módulos de producción y proponer oportunidades de mejora bajo la orientación del ingeniero responsable.
Participar en la identificación de cuellos de botella y oportunidades para optimizar los proc"&amp;"esos productivos.
Registrar información de eficiencia individual, producción por hora y rendimiento de los módulos. entre otras. La empresa se encuentra ubicada en el municipio de Rionegro, Antioquia pero ofrece el servicio de transporte a todas las perso"&amp;"nas que residan en el area metropolitana.")</f>
        <v>Empresa del sector textil requiere para su area de ingeniería estudiantes de areas afines a la producción industrial para desempeñar el cargo de aprendiz sena. el tiempo del contrato es de 6 meses a un año de acuerdo a los requerimientos de la institución o programa, algunas de sus funciones estarán orientadas a: Realizar toma de tiempos y observación de métodos de trabajo para apoyar estudios de productividad.
Consolidar, analizar y actualizar información relacionada con indicadores de producción, eficiencia y cumplimiento.
Apoyar el seguimiento al balanceo de módulos de producción y proponer oportunidades de mejora bajo la orientación del ingeniero responsable.
Participar en la identificación de cuellos de botella y oportunidades para optimizar los procesos productivos.
Registrar información de eficiencia individual, producción por hora y rendimiento de los módulos. entre otras. La empresa se encuentra ubicada en el municipio de Rionegro, Antioquia pero ofrece el servicio de transporte a todas las personas que residan en el area metropolitana.</v>
      </c>
      <c r="E103" s="7" t="str">
        <f>IFERROR(__xludf.DUMMYFUNCTION("""COMPUTED_VALUE"""),"No")</f>
        <v>No</v>
      </c>
      <c r="F103" s="6" t="str">
        <f>IFERROR(__xludf.DUMMYFUNCTION("""COMPUTED_VALUE"""),"Otro")</f>
        <v>Otro</v>
      </c>
      <c r="G103" s="6" t="str">
        <f>IFERROR(__xludf.DUMMYFUNCTION("""COMPUTED_VALUE"""),"Ingeniería Industrial")</f>
        <v>Ingeniería Industrial</v>
      </c>
      <c r="H103" s="6" t="str">
        <f>IFERROR(__xludf.DUMMYFUNCTION("""COMPUTED_VALUE"""),"1 SMMLV")</f>
        <v>1 SMMLV</v>
      </c>
      <c r="I103" s="8">
        <f>IFERROR(__xludf.DUMMYFUNCTION("""COMPUTED_VALUE"""),46279.0)</f>
        <v>46279</v>
      </c>
      <c r="J103" s="8">
        <f>IFERROR(__xludf.DUMMYFUNCTION("""COMPUTED_VALUE"""),46370.0)</f>
        <v>46370</v>
      </c>
      <c r="K103" s="7" t="str">
        <f>IFERROR(__xludf.DUMMYFUNCTION("""COMPUTED_VALUE"""),"danna.gaviria@prointimo.co")</f>
        <v>danna.gaviria@prointimo.co</v>
      </c>
      <c r="L103" s="3"/>
      <c r="M103" s="3"/>
      <c r="N103" s="3"/>
      <c r="O103" s="3"/>
      <c r="P103" s="3"/>
      <c r="Q103" s="3"/>
      <c r="R103" s="3"/>
      <c r="S103" s="3"/>
      <c r="T103" s="3"/>
      <c r="U103" s="3"/>
      <c r="V103" s="3"/>
      <c r="W103" s="3"/>
      <c r="X103" s="3"/>
      <c r="Y103" s="3"/>
    </row>
    <row r="104">
      <c r="A104" s="6" t="str">
        <f>IFERROR(__xludf.DUMMYFUNCTION("""COMPUTED_VALUE"""),"DATA FILE S.A.")</f>
        <v>DATA FILE S.A.</v>
      </c>
      <c r="B104" s="6" t="str">
        <f>IFERROR(__xludf.DUMMYFUNCTION("""COMPUTED_VALUE"""),"Ciclo tecnológico")</f>
        <v>Ciclo tecnológico</v>
      </c>
      <c r="C104" s="6" t="str">
        <f>IFERROR(__xludf.DUMMYFUNCTION("""COMPUTED_VALUE"""),"Tecnología en Mecánica Automotriz")</f>
        <v>Tecnología en Mecánica Automotriz</v>
      </c>
      <c r="D104" s="6" t="str">
        <f>IFERROR(__xludf.DUMMYFUNCTION("""COMPUTED_VALUE"""),"DataFile (o Data File) es una empresa regional presente en países como Colombia y Panamá, especializada en la gestión integral de información, archivos físicos y digitales, y externalización de procesos (BPO). ")</f>
        <v>DataFile (o Data File) es una empresa regional presente en países como Colombia y Panamá, especializada en la gestión integral de información, archivos físicos y digitales, y externalización de procesos (BPO). </v>
      </c>
      <c r="E104" s="7" t="str">
        <f>IFERROR(__xludf.DUMMYFUNCTION("""COMPUTED_VALUE"""),"Si")</f>
        <v>Si</v>
      </c>
      <c r="F104" s="6" t="str">
        <f>IFERROR(__xludf.DUMMYFUNCTION("""COMPUTED_VALUE"""),"Bogotá (Chia, Cota, Sopó, Cajicá y alrededores)")</f>
        <v>Bogotá (Chia, Cota, Sopó, Cajicá y alrededores)</v>
      </c>
      <c r="G104" s="6" t="str">
        <f>IFERROR(__xludf.DUMMYFUNCTION("""COMPUTED_VALUE"""),"Ingeniería Mecánica")</f>
        <v>Ingeniería Mecánica</v>
      </c>
      <c r="H104" s="6" t="str">
        <f>IFERROR(__xludf.DUMMYFUNCTION("""COMPUTED_VALUE"""),"De 1 SMMLV a 2 SMMLV")</f>
        <v>De 1 SMMLV a 2 SMMLV</v>
      </c>
      <c r="I104" s="8">
        <f>IFERROR(__xludf.DUMMYFUNCTION("""COMPUTED_VALUE"""),46279.0)</f>
        <v>46279</v>
      </c>
      <c r="J104" s="8">
        <f>IFERROR(__xludf.DUMMYFUNCTION("""COMPUTED_VALUE"""),46325.0)</f>
        <v>46325</v>
      </c>
      <c r="K104" s="7" t="str">
        <f>IFERROR(__xludf.DUMMYFUNCTION("""COMPUTED_VALUE"""),"carlos.briceno@datafileinternacional.com")</f>
        <v>carlos.briceno@datafileinternacional.com</v>
      </c>
      <c r="L104" s="3"/>
      <c r="M104" s="3"/>
      <c r="N104" s="3"/>
      <c r="O104" s="3"/>
      <c r="P104" s="3"/>
      <c r="Q104" s="3"/>
      <c r="R104" s="3"/>
      <c r="S104" s="3"/>
      <c r="T104" s="3"/>
      <c r="U104" s="3"/>
      <c r="V104" s="3"/>
      <c r="W104" s="3"/>
      <c r="X104" s="3"/>
      <c r="Y104" s="3"/>
    </row>
    <row r="105">
      <c r="A105" s="6" t="str">
        <f>IFERROR(__xludf.DUMMYFUNCTION("""COMPUTED_VALUE"""),"MATRIX GIROS Y SERVICIOS")</f>
        <v>MATRIX GIROS Y SERVICIOS</v>
      </c>
      <c r="B105" s="6" t="str">
        <f>IFERROR(__xludf.DUMMYFUNCTION("""COMPUTED_VALUE"""),"Ciclo profesional")</f>
        <v>Ciclo profesional</v>
      </c>
      <c r="C105" s="6" t="str">
        <f>IFERROR(__xludf.DUMMYFUNCTION("""COMPUTED_VALUE"""),"No aplica")</f>
        <v>No aplica</v>
      </c>
      <c r="D105" s="6" t="str">
        <f>IFERROR(__xludf.DUMMYFUNCTION("""COMPUTED_VALUE"""),"Somos una empresa del sector financiero y queremos sumar a nuestro equipo un/a pasante que quiera asumir el reto de aprender, aportar y vivir una experiencia enriquecedora dentro de nuestra organización.
Buscamos una persona con iniciativa, curiosidad y "&amp;"muchas ganas de aprender, que quiera acompañarnos en diferentes procesos de Talento Humano, aportando nuevas ideas y creciendo junto a nuestro equipo.")</f>
        <v>Somos una empresa del sector financiero y queremos sumar a nuestro equipo un/a pasante que quiera asumir el reto de aprender, aportar y vivir una experiencia enriquecedora dentro de nuestra organización.
Buscamos una persona con iniciativa, curiosidad y muchas ganas de aprender, que quiera acompañarnos en diferentes procesos de Talento Humano, aportando nuevas ideas y creciendo junto a nuestro equipo.</v>
      </c>
      <c r="E105" s="7" t="str">
        <f>IFERROR(__xludf.DUMMYFUNCTION("""COMPUTED_VALUE"""),"Si")</f>
        <v>Si</v>
      </c>
      <c r="F105" s="6" t="str">
        <f>IFERROR(__xludf.DUMMYFUNCTION("""COMPUTED_VALUE"""),"Bogotá (Chia, Cota, Sopó, Cajicá y alrededores)")</f>
        <v>Bogotá (Chia, Cota, Sopó, Cajicá y alrededores)</v>
      </c>
      <c r="G105" s="6" t="str">
        <f>IFERROR(__xludf.DUMMYFUNCTION("""COMPUTED_VALUE"""),"Administración de Empresas Virtual, Ingeniería Industrial")</f>
        <v>Administración de Empresas Virtual, Ingeniería Industrial</v>
      </c>
      <c r="H105" s="6" t="str">
        <f>IFERROR(__xludf.DUMMYFUNCTION("""COMPUTED_VALUE"""),"1 SMMLV")</f>
        <v>1 SMMLV</v>
      </c>
      <c r="I105" s="8">
        <f>IFERROR(__xludf.DUMMYFUNCTION("""COMPUTED_VALUE"""),46280.0)</f>
        <v>46280</v>
      </c>
      <c r="J105" s="8">
        <f>IFERROR(__xludf.DUMMYFUNCTION("""COMPUTED_VALUE"""),46295.0)</f>
        <v>46295</v>
      </c>
      <c r="K105" s="7" t="str">
        <f>IFERROR(__xludf.DUMMYFUNCTION("""COMPUTED_VALUE"""),"ingrid.cely@sured.com.co")</f>
        <v>ingrid.cely@sured.com.co</v>
      </c>
      <c r="L105" s="3"/>
      <c r="M105" s="3"/>
      <c r="N105" s="3"/>
      <c r="O105" s="3"/>
      <c r="P105" s="3"/>
      <c r="Q105" s="3"/>
      <c r="R105" s="3"/>
      <c r="S105" s="3"/>
      <c r="T105" s="3"/>
      <c r="U105" s="3"/>
      <c r="V105" s="3"/>
      <c r="W105" s="3"/>
      <c r="X105" s="3"/>
      <c r="Y105" s="3"/>
    </row>
    <row r="106">
      <c r="A106" s="6" t="str">
        <f>IFERROR(__xludf.DUMMYFUNCTION("""COMPUTED_VALUE"""),"FUNDACIÓN PARA LA INCLUSIÓN Y CONSTRUCCIÓN SOCIAL DE COLOMBIA")</f>
        <v>FUNDACIÓN PARA LA INCLUSIÓN Y CONSTRUCCIÓN SOCIAL DE COLOMBIA</v>
      </c>
      <c r="B106" s="6" t="str">
        <f>IFERROR(__xludf.DUMMYFUNCTION("""COMPUTED_VALUE"""),"Ciclo tecnológico, Ciclo profesional")</f>
        <v>Ciclo tecnológico, Ciclo profesional</v>
      </c>
      <c r="C106" s="6" t="str">
        <f>IFERROR(__xludf.DUMMYFUNCTION("""COMPUTED_VALUE"""),"Tecnología en Mercadeo y Diseño Publicitario, Tecnología en Automatización y Robótica Industrial, Tecnología en Desarrollo Informático")</f>
        <v>Tecnología en Mercadeo y Diseño Publicitario, Tecnología en Automatización y Robótica Industrial, Tecnología en Desarrollo Informático</v>
      </c>
      <c r="D106" s="6" t="str">
        <f>IFERROR(__xludf.DUMMYFUNCTION("""COMPUTED_VALUE"""),"La Fundación INCOSOC requiere estudiantes de últimos semestres para realizar práctica académica en las áreas de Gestión de Proyectos y Cooperación Internacional o Marketing Digital y Comunicación Social. Las actividades comprenden, según el perfil selecci"&amp;"onado, la búsqueda y análisis de convocatorias, apoyo en formulación de proyectos, elaboración de matrices, cronogramas e indicadores; o el diagnóstico de canales digitales, preparación de contenidos, apoyo a campañas institucionales y análisis de métrica"&amp;"s. La práctica será cien por ciento (100 %) virtual, con una intensidad de doce (12) a veinte (20) horas semanales, horario flexible y duración sujeta a los requisitos de la Universidad. La modalidad será de práctica libre, no remunerada, con plan de trab"&amp;"ajo, acompañamiento de una tutora institucional, seguimiento académico y certificación. El estudiante no sustituirá cargos permanentes ni será responsable exclusivo del área asignada.")</f>
        <v>La Fundación INCOSOC requiere estudiantes de últimos semestres para realizar práctica académica en las áreas de Gestión de Proyectos y Cooperación Internacional o Marketing Digital y Comunicación Social. Las actividades comprenden, según el perfil seleccionado, la búsqueda y análisis de convocatorias, apoyo en formulación de proyectos, elaboración de matrices, cronogramas e indicadores; o el diagnóstico de canales digitales, preparación de contenidos, apoyo a campañas institucionales y análisis de métricas. La práctica será cien por ciento (100 %) virtual, con una intensidad de doce (12) a veinte (20) horas semanales, horario flexible y duración sujeta a los requisitos de la Universidad. La modalidad será de práctica libre, no remunerada, con plan de trabajo, acompañamiento de una tutora institucional, seguimiento académico y certificación. El estudiante no sustituirá cargos permanentes ni será responsable exclusivo del área asignada.</v>
      </c>
      <c r="E106" s="7" t="str">
        <f>IFERROR(__xludf.DUMMYFUNCTION("""COMPUTED_VALUE"""),"Si")</f>
        <v>Si</v>
      </c>
      <c r="F106" s="6" t="str">
        <f>IFERROR(__xludf.DUMMYFUNCTION("""COMPUTED_VALUE"""),"Bogotá (Chia, Cota, Sopó, Cajicá y alrededores)")</f>
        <v>Bogotá (Chia, Cota, Sopó, Cajicá y alrededores)</v>
      </c>
      <c r="G106" s="6" t="str">
        <f>IFERROR(__xludf.DUMMYFUNCTION("""COMPUTED_VALUE"""),"Mercadeo y Publicidad, Administración de Empresas Virtual, Derecho, Ingeniería de Sistemas, Estadística")</f>
        <v>Mercadeo y Publicidad, Administración de Empresas Virtual, Derecho, Ingeniería de Sistemas, Estadística</v>
      </c>
      <c r="H106" s="6" t="str">
        <f>IFERROR(__xludf.DUMMYFUNCTION("""COMPUTED_VALUE"""),"Menos de 1 SMMLV")</f>
        <v>Menos de 1 SMMLV</v>
      </c>
      <c r="I106" s="8">
        <f>IFERROR(__xludf.DUMMYFUNCTION("""COMPUTED_VALUE"""),46279.0)</f>
        <v>46279</v>
      </c>
      <c r="J106" s="8">
        <f>IFERROR(__xludf.DUMMYFUNCTION("""COMPUTED_VALUE"""),46387.0)</f>
        <v>46387</v>
      </c>
      <c r="K106" s="7" t="str">
        <f>IFERROR(__xludf.DUMMYFUNCTION("""COMPUTED_VALUE"""),"fundacion.incosoc@gmail.com")</f>
        <v>fundacion.incosoc@gmail.com</v>
      </c>
      <c r="L106" s="3"/>
      <c r="M106" s="3"/>
      <c r="N106" s="3"/>
      <c r="O106" s="3"/>
      <c r="P106" s="3"/>
      <c r="Q106" s="3"/>
      <c r="R106" s="3"/>
      <c r="S106" s="3"/>
      <c r="T106" s="3"/>
      <c r="U106" s="3"/>
      <c r="V106" s="3"/>
      <c r="W106" s="3"/>
      <c r="X106" s="3"/>
      <c r="Y106" s="3"/>
    </row>
    <row r="107">
      <c r="A107" s="6" t="str">
        <f>IFERROR(__xludf.DUMMYFUNCTION("""COMPUTED_VALUE"""),"MERSEN COLOMBIA S.A ")</f>
        <v>MERSEN COLOMBIA S.A </v>
      </c>
      <c r="B107" s="6" t="str">
        <f>IFERROR(__xludf.DUMMYFUNCTION("""COMPUTED_VALUE"""),"Ciclo tecnológico")</f>
        <v>Ciclo tecnológico</v>
      </c>
      <c r="C107" s="6" t="str">
        <f>IFERROR(__xludf.DUMMYFUNCTION("""COMPUTED_VALUE"""),"Tecnología en Gestión de Procesos Industriales")</f>
        <v>Tecnología en Gestión de Procesos Industriales</v>
      </c>
      <c r="D107" s="6" t="str">
        <f>IFERROR(__xludf.DUMMYFUNCTION("""COMPUTED_VALUE"""),"Aprendiz en formación tecnológica orientado al apoyo de los procesos productivos y de manufactura contribuyendo al seguimiento de la producción control de calidad gestión de recursos y mejora continua. Participa en actividades relacionadas con la planeaci"&amp;"ón programación y control de operaciones industriales aplicando conocimientos técnicos para optimizar la eficiencia productividad y cumplimiento de los estándares establecidos por la organización. Se caracteriza por su disposición al aprendizaje trabajo e"&amp;"n equipo atención al detalle y compromiso con las normas de seguridad y calidad.
Funciones a desarrollar: Hacer el levantamiento de tiempos y movimientos de producción. Acompañar el proceso productivo. Realizar apoyo administrativo y documental de producc"&amp;"ión. Apoyar labores en organización y gestión del almacén")</f>
        <v>Aprendiz en formación tecnológica orientado al apoyo de los procesos productivos y de manufactura contribuyendo al seguimiento de la producción control de calidad gestión de recursos y mejora continua. Participa en actividades relacionadas con la planeación programación y control de operaciones industriales aplicando conocimientos técnicos para optimizar la eficiencia productividad y cumplimiento de los estándares establecidos por la organización. Se caracteriza por su disposición al aprendizaje trabajo en equipo atención al detalle y compromiso con las normas de seguridad y calidad.
Funciones a desarrollar: Hacer el levantamiento de tiempos y movimientos de producción. Acompañar el proceso productivo. Realizar apoyo administrativo y documental de producción. Apoyar labores en organización y gestión del almacén</v>
      </c>
      <c r="E107" s="7" t="str">
        <f>IFERROR(__xludf.DUMMYFUNCTION("""COMPUTED_VALUE"""),"No")</f>
        <v>No</v>
      </c>
      <c r="F107" s="6" t="str">
        <f>IFERROR(__xludf.DUMMYFUNCTION("""COMPUTED_VALUE"""),"Bogotá (Chia, Cota, Sopó, Cajicá y alrededores)")</f>
        <v>Bogotá (Chia, Cota, Sopó, Cajicá y alrededores)</v>
      </c>
      <c r="G107" s="6" t="str">
        <f>IFERROR(__xludf.DUMMYFUNCTION("""COMPUTED_VALUE"""),"Ingeniería Industrial")</f>
        <v>Ingeniería Industrial</v>
      </c>
      <c r="H107" s="6" t="str">
        <f>IFERROR(__xludf.DUMMYFUNCTION("""COMPUTED_VALUE"""),"1 SMMLV")</f>
        <v>1 SMMLV</v>
      </c>
      <c r="I107" s="8">
        <f>IFERROR(__xludf.DUMMYFUNCTION("""COMPUTED_VALUE"""),46279.0)</f>
        <v>46279</v>
      </c>
      <c r="J107" s="8">
        <f>IFERROR(__xludf.DUMMYFUNCTION("""COMPUTED_VALUE"""),46356.0)</f>
        <v>46356</v>
      </c>
      <c r="K107" s="7" t="str">
        <f>IFERROR(__xludf.DUMMYFUNCTION("""COMPUTED_VALUE"""),"ana.toloza@mersen.com")</f>
        <v>ana.toloza@mersen.com</v>
      </c>
      <c r="L107" s="3"/>
      <c r="M107" s="3"/>
      <c r="N107" s="3"/>
      <c r="O107" s="3"/>
      <c r="P107" s="3"/>
      <c r="Q107" s="3"/>
      <c r="R107" s="3"/>
      <c r="S107" s="3"/>
      <c r="T107" s="3"/>
      <c r="U107" s="3"/>
      <c r="V107" s="3"/>
      <c r="W107" s="3"/>
      <c r="X107" s="3"/>
      <c r="Y107" s="3"/>
    </row>
    <row r="108">
      <c r="A108" s="6" t="str">
        <f>IFERROR(__xludf.DUMMYFUNCTION("""COMPUTED_VALUE"""),"SITARA SAS")</f>
        <v>SITARA SAS</v>
      </c>
      <c r="B108" s="6" t="str">
        <f>IFERROR(__xludf.DUMMYFUNCTION("""COMPUTED_VALUE"""),"Ciclo tecnológico, Ciclo profesional")</f>
        <v>Ciclo tecnológico, Ciclo profesional</v>
      </c>
      <c r="C108" s="6" t="str">
        <f>IFERROR(__xludf.DUMMYFUNCTION("""COMPUTED_VALUE"""),"Tecnología en Gestión Contable, Tecnología en Mecánica Industrial, Tecnología en Gestión de Procesos Industriales, Tecnología en Gestión Ambiental")</f>
        <v>Tecnología en Gestión Contable, Tecnología en Mecánica Industrial, Tecnología en Gestión de Procesos Industriales, Tecnología en Gestión Ambiental</v>
      </c>
      <c r="D108" s="6" t="str">
        <f>IFERROR(__xludf.DUMMYFUNCTION("""COMPUTED_VALUE"""),"Buscamos estudiante de últimos semestres de Administración de Empresas o Ingeniería Industrial, para el área de Compras.
¡Esta oportunidad puede ser para ti! 
¿Cuál será tu reto?
Apoyar al área de Compras y Abastecimiento en la gestión de proveedores, s"&amp;"eguimiento de órdenes de compra, análisis de información y mejora de procesos, contribuyendo al cumplimiento de los objetivos del área
¿Qué buscamos?
Estudiante de últimos semestres.
Disponibilidad para realizar sus prácticas profesionales.
Manejo de Mic"&amp;"rosoft Excel a nivel intermedio.
Habilidades analíticas y capacidad para trabajar con información.
Organización, atención al detalle y seguimiento.
Proactividad y disposición para aprender.
Buenas habilidades de comunicación y trabajo en equipo.
¿Te inte"&amp;"resa?
Si cumples con el perfil y quieres comenzar a desarrollar tu carrera profesional en el área de Compras, ¡queremos conocerte!")</f>
        <v>Buscamos estudiante de últimos semestres de Administración de Empresas o Ingeniería Industrial, para el área de Compras.
¡Esta oportunidad puede ser para ti! 
¿Cuál será tu reto?
Apoyar al área de Compras y Abastecimiento en la gestión de proveedores, seguimiento de órdenes de compra, análisis de información y mejora de procesos, contribuyendo al cumplimiento de los objetivos del área
¿Qué buscamos?
Estudiante de últimos semestres.
Disponibilidad para realizar sus prácticas profesionales.
Manejo de Microsoft Excel a nivel intermedio.
Habilidades analíticas y capacidad para trabajar con información.
Organización, atención al detalle y seguimiento.
Proactividad y disposición para aprender.
Buenas habilidades de comunicación y trabajo en equipo.
¿Te interesa?
Si cumples con el perfil y quieres comenzar a desarrollar tu carrera profesional en el área de Compras, ¡queremos conocerte!</v>
      </c>
      <c r="E108" s="7" t="str">
        <f>IFERROR(__xludf.DUMMYFUNCTION("""COMPUTED_VALUE"""),"No")</f>
        <v>No</v>
      </c>
      <c r="F108" s="6" t="str">
        <f>IFERROR(__xludf.DUMMYFUNCTION("""COMPUTED_VALUE"""),"Bogotá (Chia, Cota, Sopó, Cajicá y alrededores)")</f>
        <v>Bogotá (Chia, Cota, Sopó, Cajicá y alrededores)</v>
      </c>
      <c r="G108" s="6" t="str">
        <f>IFERROR(__xludf.DUMMYFUNCTION("""COMPUTED_VALUE"""),"Contaduría Pública, Administración de Empresas Virtual, Ingeniería Mecánica, Ingeniería Industrial, Ingeniería Ambiental")</f>
        <v>Contaduría Pública, Administración de Empresas Virtual, Ingeniería Mecánica, Ingeniería Industrial, Ingeniería Ambiental</v>
      </c>
      <c r="H108" s="6" t="str">
        <f>IFERROR(__xludf.DUMMYFUNCTION("""COMPUTED_VALUE"""),"1 SMMLV")</f>
        <v>1 SMMLV</v>
      </c>
      <c r="I108" s="8">
        <f>IFERROR(__xludf.DUMMYFUNCTION("""COMPUTED_VALUE"""),46280.0)</f>
        <v>46280</v>
      </c>
      <c r="J108" s="8">
        <f>IFERROR(__xludf.DUMMYFUNCTION("""COMPUTED_VALUE"""),46304.0)</f>
        <v>46304</v>
      </c>
      <c r="K108" s="7" t="str">
        <f>IFERROR(__xludf.DUMMYFUNCTION("""COMPUTED_VALUE"""),"analistaseleccion@sitarasas.com")</f>
        <v>analistaseleccion@sitarasas.com</v>
      </c>
      <c r="L108" s="3"/>
      <c r="M108" s="3"/>
      <c r="N108" s="3"/>
      <c r="O108" s="3"/>
      <c r="P108" s="3"/>
      <c r="Q108" s="3"/>
      <c r="R108" s="3"/>
      <c r="S108" s="3"/>
      <c r="T108" s="3"/>
      <c r="U108" s="3"/>
      <c r="V108" s="3"/>
      <c r="W108" s="3"/>
      <c r="X108" s="3"/>
      <c r="Y108" s="3"/>
    </row>
    <row r="109">
      <c r="A109" s="6" t="str">
        <f>IFERROR(__xludf.DUMMYFUNCTION("""COMPUTED_VALUE"""),"NUEVA EMPRESA PROMOTORA DE SALUD (NUEVA EPS)")</f>
        <v>NUEVA EMPRESA PROMOTORA DE SALUD (NUEVA EPS)</v>
      </c>
      <c r="B109" s="6" t="str">
        <f>IFERROR(__xludf.DUMMYFUNCTION("""COMPUTED_VALUE"""),"Ciclo profesional")</f>
        <v>Ciclo profesional</v>
      </c>
      <c r="C109" s="6" t="str">
        <f>IFERROR(__xludf.DUMMYFUNCTION("""COMPUTED_VALUE"""),"No aplica")</f>
        <v>No aplica</v>
      </c>
      <c r="D109" s="6" t="str">
        <f>IFERROR(__xludf.DUMMYFUNCTION("""COMPUTED_VALUE"""),"Una importante empresa del sector salud se encuentra en búsqueda de estudiantes de Administración de Empresas interesados en realizar su práctica profesional y adquirir experiencia en un entorno organizacional dinámico. La vinculación contempla una remune"&amp;"ración equivalente a un (1) Salario Mínimo Legal Mensual Vigente (SMLMV) en Colombia, junto con todas las prestaciones sociales de ley y los beneficios correspondientes a la vinculación. Si buscas una oportunidad para desarrollar tus conocimientos, fortal"&amp;"ecer tus competencias y vivir una experiencia profesional en el sector salud, ¡esta oportunidad puede ser para ti!")</f>
        <v>Una importante empresa del sector salud se encuentra en búsqueda de estudiantes de Administración de Empresas interesados en realizar su práctica profesional y adquirir experiencia en un entorno organizacional dinámico. La vinculación contempla una remuneración equivalente a un (1) Salario Mínimo Legal Mensual Vigente (SMLMV) en Colombia, junto con todas las prestaciones sociales de ley y los beneficios correspondientes a la vinculación. Si buscas una oportunidad para desarrollar tus conocimientos, fortalecer tus competencias y vivir una experiencia profesional en el sector salud, ¡esta oportunidad puede ser para ti!</v>
      </c>
      <c r="E109" s="7" t="str">
        <f>IFERROR(__xludf.DUMMYFUNCTION("""COMPUTED_VALUE"""),"Si")</f>
        <v>Si</v>
      </c>
      <c r="F109" s="6" t="str">
        <f>IFERROR(__xludf.DUMMYFUNCTION("""COMPUTED_VALUE"""),"Bogotá (Chia, Cota, Sopó, Cajicá y alrededores)")</f>
        <v>Bogotá (Chia, Cota, Sopó, Cajicá y alrededores)</v>
      </c>
      <c r="G109" s="6" t="str">
        <f>IFERROR(__xludf.DUMMYFUNCTION("""COMPUTED_VALUE"""),"Derecho")</f>
        <v>Derecho</v>
      </c>
      <c r="H109" s="6" t="str">
        <f>IFERROR(__xludf.DUMMYFUNCTION("""COMPUTED_VALUE"""),"1 SMMLV")</f>
        <v>1 SMMLV</v>
      </c>
      <c r="I109" s="8">
        <f>IFERROR(__xludf.DUMMYFUNCTION("""COMPUTED_VALUE"""),46296.0)</f>
        <v>46296</v>
      </c>
      <c r="J109" s="8">
        <f>IFERROR(__xludf.DUMMYFUNCTION("""COMPUTED_VALUE"""),46335.0)</f>
        <v>46335</v>
      </c>
      <c r="K109" s="7" t="str">
        <f>IFERROR(__xludf.DUMMYFUNCTION("""COMPUTED_VALUE"""),"mariana.diaz@nuevaeps.com.co")</f>
        <v>mariana.diaz@nuevaeps.com.co</v>
      </c>
      <c r="L109" s="3"/>
      <c r="M109" s="3"/>
      <c r="N109" s="3"/>
      <c r="O109" s="3"/>
      <c r="P109" s="3"/>
      <c r="Q109" s="3"/>
      <c r="R109" s="3"/>
      <c r="S109" s="3"/>
      <c r="T109" s="3"/>
      <c r="U109" s="3"/>
      <c r="V109" s="3"/>
      <c r="W109" s="3"/>
      <c r="X109" s="3"/>
      <c r="Y109" s="3"/>
    </row>
    <row r="110">
      <c r="A110" s="6" t="str">
        <f>IFERROR(__xludf.DUMMYFUNCTION("""COMPUTED_VALUE"""),"INDUSTRIA SANTA CLARA")</f>
        <v>INDUSTRIA SANTA CLARA</v>
      </c>
      <c r="B110" s="6" t="str">
        <f>IFERROR(__xludf.DUMMYFUNCTION("""COMPUTED_VALUE"""),"Ciclo tecnológico")</f>
        <v>Ciclo tecnológico</v>
      </c>
      <c r="C110" s="6" t="str">
        <f>IFERROR(__xludf.DUMMYFUNCTION("""COMPUTED_VALUE"""),"Tecnología en Gestión de Procesos Industriales")</f>
        <v>Tecnología en Gestión de Procesos Industriales</v>
      </c>
      <c r="D110" s="6" t="str">
        <f>IFERROR(__xludf.DUMMYFUNCTION("""COMPUTED_VALUE"""),"me comunico de la empresa Industria Santa Clara con referencia a la oferta de Aprendiz de producción en la Ciudad de Bogotá, te cuento las condiciones que ofrecemos: 
Contrato: de aprendizaje ya sea a 6 meses o 1 año                                       "&amp;"                                                                                                                                                                                         Salario: SMLV 1.750.905 +EPS+ARL                   
Horario: Lunes a V"&amp;"iernes 6:30 am a 3:00 pm Sabados  6:30 am a 10:00 am
Pagos: Mensuales los 22 de cada mes.                                                      
Requisitos para aplicar No haber tenido contrato de aprendizaje y contar con el aval de la universidad.        "&amp;"
                                                                                                                                                                                                                                                              "&amp;"             * Funciones:
Conocimiento en herramientas ofimáticas
Comunicación asertiva
Dinámico 
Trabajo en equipo
trabajo bajo presión
Ágil
Por favor adjuntar tu hoja de vida actualizada")</f>
        <v>me comunico de la empresa Industria Santa Clara con referencia a la oferta de Aprendiz de producción en la Ciudad de Bogotá, te cuento las condiciones que ofrecemos: 
Contrato: de aprendizaje ya sea a 6 meses o 1 año                                                                                                                                                                                                                                Salario: SMLV 1.750.905 +EPS+ARL                   
Horario: Lunes a Viernes 6:30 am a 3:00 pm Sabados  6:30 am a 10:00 am
Pagos: Mensuales los 22 de cada mes.                                                      
Requisitos para aplicar No haber tenido contrato de aprendizaje y contar con el aval de la universidad.        
                                                                                                                                                                                                                                                                           * Funciones:
Conocimiento en herramientas ofimáticas
Comunicación asertiva
Dinámico 
Trabajo en equipo
trabajo bajo presión
Ágil
Por favor adjuntar tu hoja de vida actualizada</v>
      </c>
      <c r="E110" s="7" t="str">
        <f>IFERROR(__xludf.DUMMYFUNCTION("""COMPUTED_VALUE"""),"No")</f>
        <v>No</v>
      </c>
      <c r="F110" s="6" t="str">
        <f>IFERROR(__xludf.DUMMYFUNCTION("""COMPUTED_VALUE"""),"Bogotá (Chia, Cota, Sopó, Cajicá y alrededores)")</f>
        <v>Bogotá (Chia, Cota, Sopó, Cajicá y alrededores)</v>
      </c>
      <c r="G110" s="6" t="str">
        <f>IFERROR(__xludf.DUMMYFUNCTION("""COMPUTED_VALUE"""),"Ingeniería Industrial")</f>
        <v>Ingeniería Industrial</v>
      </c>
      <c r="H110" s="6" t="str">
        <f>IFERROR(__xludf.DUMMYFUNCTION("""COMPUTED_VALUE"""),"1 SMMLV")</f>
        <v>1 SMMLV</v>
      </c>
      <c r="I110" s="8">
        <f>IFERROR(__xludf.DUMMYFUNCTION("""COMPUTED_VALUE"""),46280.0)</f>
        <v>46280</v>
      </c>
      <c r="J110" s="8">
        <f>IFERROR(__xludf.DUMMYFUNCTION("""COMPUTED_VALUE"""),46293.0)</f>
        <v>46293</v>
      </c>
      <c r="K110" s="7" t="str">
        <f>IFERROR(__xludf.DUMMYFUNCTION("""COMPUTED_VALUE"""),"santaclaraisc7@gmail.com")</f>
        <v>santaclaraisc7@gmail.com</v>
      </c>
      <c r="L110" s="3"/>
      <c r="M110" s="3"/>
      <c r="N110" s="3"/>
      <c r="O110" s="3"/>
      <c r="P110" s="3"/>
      <c r="Q110" s="3"/>
      <c r="R110" s="3"/>
      <c r="S110" s="3"/>
      <c r="T110" s="3"/>
      <c r="U110" s="3"/>
      <c r="V110" s="3"/>
      <c r="W110" s="3"/>
      <c r="X110" s="3"/>
      <c r="Y110" s="3"/>
    </row>
    <row r="111">
      <c r="A111" s="6" t="str">
        <f>IFERROR(__xludf.DUMMYFUNCTION("""COMPUTED_VALUE"""),"ALIANZA MOTOR")</f>
        <v>ALIANZA MOTOR</v>
      </c>
      <c r="B111" s="6" t="str">
        <f>IFERROR(__xludf.DUMMYFUNCTION("""COMPUTED_VALUE"""),"Ciclo tecnológico")</f>
        <v>Ciclo tecnológico</v>
      </c>
      <c r="C111" s="6" t="str">
        <f>IFERROR(__xludf.DUMMYFUNCTION("""COMPUTED_VALUE"""),"Tecnología en Desarrollo Informático")</f>
        <v>Tecnología en Desarrollo Informático</v>
      </c>
      <c r="D111" s="6" t="str">
        <f>IFERROR(__xludf.DUMMYFUNCTION("""COMPUTED_VALUE"""),"Concesionario de la marca Renault requiere practicante de carreras afines a desarrollo informatico")</f>
        <v>Concesionario de la marca Renault requiere practicante de carreras afines a desarrollo informatico</v>
      </c>
      <c r="E111" s="7" t="str">
        <f>IFERROR(__xludf.DUMMYFUNCTION("""COMPUTED_VALUE"""),"Si")</f>
        <v>Si</v>
      </c>
      <c r="F111" s="6" t="str">
        <f>IFERROR(__xludf.DUMMYFUNCTION("""COMPUTED_VALUE"""),"Bogotá (Chia, Cota, Sopó, Cajicá y alrededores)")</f>
        <v>Bogotá (Chia, Cota, Sopó, Cajicá y alrededores)</v>
      </c>
      <c r="G111" s="6" t="str">
        <f>IFERROR(__xludf.DUMMYFUNCTION("""COMPUTED_VALUE"""),"Ingeniería de Sistemas")</f>
        <v>Ingeniería de Sistemas</v>
      </c>
      <c r="H111" s="6" t="str">
        <f>IFERROR(__xludf.DUMMYFUNCTION("""COMPUTED_VALUE"""),"1 SMMLV")</f>
        <v>1 SMMLV</v>
      </c>
      <c r="I111" s="8">
        <f>IFERROR(__xludf.DUMMYFUNCTION("""COMPUTED_VALUE"""),46280.0)</f>
        <v>46280</v>
      </c>
      <c r="J111" s="8">
        <f>IFERROR(__xludf.DUMMYFUNCTION("""COMPUTED_VALUE"""),46326.0)</f>
        <v>46326</v>
      </c>
      <c r="K111" s="7" t="str">
        <f>IFERROR(__xludf.DUMMYFUNCTION("""COMPUTED_VALUE"""),"dgutierrez@alianzamotor.com")</f>
        <v>dgutierrez@alianzamotor.com</v>
      </c>
      <c r="L111" s="3"/>
      <c r="M111" s="3"/>
      <c r="N111" s="3"/>
      <c r="O111" s="3"/>
      <c r="P111" s="3"/>
      <c r="Q111" s="3"/>
      <c r="R111" s="3"/>
      <c r="S111" s="3"/>
      <c r="T111" s="3"/>
      <c r="U111" s="3"/>
      <c r="V111" s="3"/>
      <c r="W111" s="3"/>
      <c r="X111" s="3"/>
      <c r="Y111" s="3"/>
    </row>
    <row r="112">
      <c r="A112" s="6" t="str">
        <f>IFERROR(__xludf.DUMMYFUNCTION("""COMPUTED_VALUE"""),"AL FRIO SAS")</f>
        <v>AL FRIO SAS</v>
      </c>
      <c r="B112" s="6" t="str">
        <f>IFERROR(__xludf.DUMMYFUNCTION("""COMPUTED_VALUE"""),"Ciclo profesional")</f>
        <v>Ciclo profesional</v>
      </c>
      <c r="C112" s="6" t="str">
        <f>IFERROR(__xludf.DUMMYFUNCTION("""COMPUTED_VALUE"""),"No aplica")</f>
        <v>No aplica</v>
      </c>
      <c r="D112" s="6" t="str">
        <f>IFERROR(__xludf.DUMMYFUNCTION("""COMPUTED_VALUE"""),"Estudiante en sistemas integrados de gestion (SIG) calidad, seguridad y ambiente-Apoyo en actividades del SIG de la empresa
Desarrollo de actividades del SIG de la empresa
Control documental de las diferentes áreas de la empresa
")</f>
        <v>Estudiante en sistemas integrados de gestion (SIG) calidad, seguridad y ambiente-Apoyo en actividades del SIG de la empresa
Desarrollo de actividades del SIG de la empresa
Control documental de las diferentes áreas de la empresa
</v>
      </c>
      <c r="E112" s="7" t="str">
        <f>IFERROR(__xludf.DUMMYFUNCTION("""COMPUTED_VALUE"""),"No")</f>
        <v>No</v>
      </c>
      <c r="F112" s="6" t="str">
        <f>IFERROR(__xludf.DUMMYFUNCTION("""COMPUTED_VALUE"""),"Bogotá (Chia, Cota, Sopó, Cajicá y alrededores)")</f>
        <v>Bogotá (Chia, Cota, Sopó, Cajicá y alrededores)</v>
      </c>
      <c r="G112" s="6" t="str">
        <f>IFERROR(__xludf.DUMMYFUNCTION("""COMPUTED_VALUE"""),"Ingeniería Industrial")</f>
        <v>Ingeniería Industrial</v>
      </c>
      <c r="H112" s="6" t="str">
        <f>IFERROR(__xludf.DUMMYFUNCTION("""COMPUTED_VALUE"""),"1 SMMLV")</f>
        <v>1 SMMLV</v>
      </c>
      <c r="I112" s="8">
        <f>IFERROR(__xludf.DUMMYFUNCTION("""COMPUTED_VALUE"""),46282.0)</f>
        <v>46282</v>
      </c>
      <c r="J112" s="8">
        <f>IFERROR(__xludf.DUMMYFUNCTION("""COMPUTED_VALUE"""),46314.0)</f>
        <v>46314</v>
      </c>
      <c r="K112" s="7" t="str">
        <f>IFERROR(__xludf.DUMMYFUNCTION("""COMPUTED_VALUE"""),"talentohumano@alfrio.com")</f>
        <v>talentohumano@alfrio.com</v>
      </c>
      <c r="L112" s="3"/>
      <c r="M112" s="3"/>
      <c r="N112" s="3"/>
      <c r="O112" s="3"/>
      <c r="P112" s="3"/>
      <c r="Q112" s="3"/>
      <c r="R112" s="3"/>
      <c r="S112" s="3"/>
      <c r="T112" s="3"/>
      <c r="U112" s="3"/>
      <c r="V112" s="3"/>
      <c r="W112" s="3"/>
      <c r="X112" s="3"/>
      <c r="Y112" s="3"/>
    </row>
    <row r="113">
      <c r="A113" s="6" t="str">
        <f>IFERROR(__xludf.DUMMYFUNCTION("""COMPUTED_VALUE"""),"OVERHAUL SERVICE CORP SAS")</f>
        <v>OVERHAUL SERVICE CORP SAS</v>
      </c>
      <c r="B113" s="6" t="str">
        <f>IFERROR(__xludf.DUMMYFUNCTION("""COMPUTED_VALUE"""),"Ciclo tecnológico")</f>
        <v>Ciclo tecnológico</v>
      </c>
      <c r="C113" s="6" t="str">
        <f>IFERROR(__xludf.DUMMYFUNCTION("""COMPUTED_VALUE"""),"Tecnología en Mecánica Automotriz, Tecnología en Electrónica Industrial")</f>
        <v>Tecnología en Mecánica Automotriz, Tecnología en Electrónica Industrial</v>
      </c>
      <c r="D113" s="6" t="str">
        <f>IFERROR(__xludf.DUMMYFUNCTION("""COMPUTED_VALUE"""),"Empresa de integración logística, para su departamento técnico esta buscando técnicos, para atención de nuestros clientes internos y externos, en la reparación y mantenimiento de montacargas.")</f>
        <v>Empresa de integración logística, para su departamento técnico esta buscando técnicos, para atención de nuestros clientes internos y externos, en la reparación y mantenimiento de montacargas.</v>
      </c>
      <c r="E113" s="7" t="str">
        <f>IFERROR(__xludf.DUMMYFUNCTION("""COMPUTED_VALUE"""),"No")</f>
        <v>No</v>
      </c>
      <c r="F113" s="6" t="str">
        <f>IFERROR(__xludf.DUMMYFUNCTION("""COMPUTED_VALUE"""),"Bogotá (Chia, Cota, Sopó, Cajicá y alrededores)")</f>
        <v>Bogotá (Chia, Cota, Sopó, Cajicá y alrededores)</v>
      </c>
      <c r="G113" s="6" t="str">
        <f>IFERROR(__xludf.DUMMYFUNCTION("""COMPUTED_VALUE"""),"Ingeniería Ambiental")</f>
        <v>Ingeniería Ambiental</v>
      </c>
      <c r="H113" s="6" t="str">
        <f>IFERROR(__xludf.DUMMYFUNCTION("""COMPUTED_VALUE"""),"De 1 SMMLV a 2 SMMLV")</f>
        <v>De 1 SMMLV a 2 SMMLV</v>
      </c>
      <c r="I113" s="8">
        <f>IFERROR(__xludf.DUMMYFUNCTION("""COMPUTED_VALUE"""),46281.0)</f>
        <v>46281</v>
      </c>
      <c r="J113" s="8">
        <f>IFERROR(__xludf.DUMMYFUNCTION("""COMPUTED_VALUE"""),46310.0)</f>
        <v>46310</v>
      </c>
      <c r="K113" s="7" t="str">
        <f>IFERROR(__xludf.DUMMYFUNCTION("""COMPUTED_VALUE"""),"Mgonzalez@overhaulservice.com.co")</f>
        <v>Mgonzalez@overhaulservice.com.co</v>
      </c>
      <c r="L113" s="3"/>
      <c r="M113" s="3"/>
      <c r="N113" s="3"/>
      <c r="O113" s="3"/>
      <c r="P113" s="3"/>
      <c r="Q113" s="3"/>
      <c r="R113" s="3"/>
      <c r="S113" s="3"/>
      <c r="T113" s="3"/>
      <c r="U113" s="3"/>
      <c r="V113" s="3"/>
      <c r="W113" s="3"/>
      <c r="X113" s="3"/>
      <c r="Y113" s="3"/>
    </row>
    <row r="114">
      <c r="A114" s="6" t="str">
        <f>IFERROR(__xludf.DUMMYFUNCTION("""COMPUTED_VALUE"""),"PROGEN S.A.")</f>
        <v>PROGEN S.A.</v>
      </c>
      <c r="B114" s="6" t="str">
        <f>IFERROR(__xludf.DUMMYFUNCTION("""COMPUTED_VALUE"""),"Ciclo tecnológico, Ciclo profesional")</f>
        <v>Ciclo tecnológico, Ciclo profesional</v>
      </c>
      <c r="C114" s="6" t="str">
        <f>IFERROR(__xludf.DUMMYFUNCTION("""COMPUTED_VALUE"""),"Tecnología en Mercadeo y Diseño Publicitario, Tecnología en Gestión Contable, Tecnología en Gestión de Comercio Exterior, Tecnología en Procesamiento de Polímeros, Tecnología en Mecánica Industrial, Tecnología en Gestión de Procesos Industriales, Tecnolog"&amp;"ía en Electrónica Industrial")</f>
        <v>Tecnología en Mercadeo y Diseño Publicitario, Tecnología en Gestión Contable, Tecnología en Gestión de Comercio Exterior, Tecnología en Procesamiento de Polímeros, Tecnología en Mecánica Industrial, Tecnología en Gestión de Procesos Industriales, Tecnología en Electrónica Industrial</v>
      </c>
      <c r="D114" s="6" t="str">
        <f>IFERROR(__xludf.DUMMYFUNCTION("""COMPUTED_VALUE"""),"Reconocida empresa del sector industrial está en la búsqueda de estudiantes técnico o tecnólogos en áreas afines a comercio exterior o logística; para realizar sus practicas apoyando áreas de logística y comercio internacional, ofreciendo una excelente op"&amp;"ortunidad para aplicar conocimientos y adquirir experiencia profesional. 
- Ubicación: municipio de Soacha
- Horario: Lunes a viernes presencial (horario de oficina) 
- Remuneración: SMLV + Auxilio de transporte + prestaciones sociales y otros beneficios "&amp;"corporativos
- Funciones: Apoyo en las diferentes tareas relacionadas con el área asignada, aplicación de conocimientos académicos en el desarrollo de las prácticas, soporte operativo y administrativo según requerimientos del área. 
- Vinculación por medi"&amp;"o de contrato especial de aprendizaje (obligatorio)")</f>
        <v>Reconocida empresa del sector industrial está en la búsqueda de estudiantes técnico o tecnólogos en áreas afines a comercio exterior o logística; para realizar sus practicas apoyando áreas de logística y comercio internacional, ofreciendo una excelente oportunidad para aplicar conocimientos y adquirir experiencia profesional. 
- Ubicación: municipio de Soacha
- Horario: Lunes a viernes presencial (horario de oficina) 
- Remuneración: SMLV + Auxilio de transporte + prestaciones sociales y otros beneficios corporativos
- Funciones: Apoyo en las diferentes tareas relacionadas con el área asignada, aplicación de conocimientos académicos en el desarrollo de las prácticas, soporte operativo y administrativo según requerimientos del área. 
- Vinculación por medio de contrato especial de aprendizaje (obligatorio)</v>
      </c>
      <c r="E114" s="7" t="str">
        <f>IFERROR(__xludf.DUMMYFUNCTION("""COMPUTED_VALUE"""),"Si")</f>
        <v>Si</v>
      </c>
      <c r="F114" s="6" t="str">
        <f>IFERROR(__xludf.DUMMYFUNCTION("""COMPUTED_VALUE"""),"Bogotá (Chia, Cota, Sopó, Cajicá y alrededores)")</f>
        <v>Bogotá (Chia, Cota, Sopó, Cajicá y alrededores)</v>
      </c>
      <c r="G114" s="6" t="str">
        <f>IFERROR(__xludf.DUMMYFUNCTION("""COMPUTED_VALUE"""),"Mercadeo y Publicidad, Contaduría Pública, Comercio Internacional, Administración de Empresas Virtual, Ingeniería de Polímeros, Ingeniería Mecatrónica, Ingeniería Mecánica, Ingeniería Industrial")</f>
        <v>Mercadeo y Publicidad, Contaduría Pública, Comercio Internacional, Administración de Empresas Virtual, Ingeniería de Polímeros, Ingeniería Mecatrónica, Ingeniería Mecánica, Ingeniería Industrial</v>
      </c>
      <c r="H114" s="6" t="str">
        <f>IFERROR(__xludf.DUMMYFUNCTION("""COMPUTED_VALUE"""),"1 SMMLV")</f>
        <v>1 SMMLV</v>
      </c>
      <c r="I114" s="8">
        <f>IFERROR(__xludf.DUMMYFUNCTION("""COMPUTED_VALUE"""),46281.0)</f>
        <v>46281</v>
      </c>
      <c r="J114" s="8">
        <f>IFERROR(__xludf.DUMMYFUNCTION("""COMPUTED_VALUE"""),46296.0)</f>
        <v>46296</v>
      </c>
      <c r="K114" s="7" t="str">
        <f>IFERROR(__xludf.DUMMYFUNCTION("""COMPUTED_VALUE"""),"gh.analista@progen.com.co")</f>
        <v>gh.analista@progen.com.co</v>
      </c>
      <c r="L114" s="3"/>
      <c r="M114" s="3"/>
      <c r="N114" s="3"/>
      <c r="O114" s="3"/>
      <c r="P114" s="3"/>
      <c r="Q114" s="3"/>
      <c r="R114" s="3"/>
      <c r="S114" s="3"/>
      <c r="T114" s="3"/>
      <c r="U114" s="3"/>
      <c r="V114" s="3"/>
      <c r="W114" s="3"/>
      <c r="X114" s="3"/>
      <c r="Y114" s="3"/>
    </row>
    <row r="115">
      <c r="A115" s="6" t="str">
        <f>IFERROR(__xludf.DUMMYFUNCTION("""COMPUTED_VALUE"""),"ACCIONES Y VALORES")</f>
        <v>ACCIONES Y VALORES</v>
      </c>
      <c r="B115" s="6" t="str">
        <f>IFERROR(__xludf.DUMMYFUNCTION("""COMPUTED_VALUE"""),"Ciclo profesional")</f>
        <v>Ciclo profesional</v>
      </c>
      <c r="C115" s="6" t="str">
        <f>IFERROR(__xludf.DUMMYFUNCTION("""COMPUTED_VALUE"""),"No aplica")</f>
        <v>No aplica</v>
      </c>
      <c r="D115" s="6" t="str">
        <f>IFERROR(__xludf.DUMMYFUNCTION("""COMPUTED_VALUE"""),"Entidad Financiera se encuentra en búsqueda de ESTUDIANTES UNIVERSITARIOS en Derecho que cuente con Aval para iniciar prácticas profesionales inmediatamente o durante lo que resta del 2026.
Buscamos un estudiante profesional para apoyar la gestión legal "&amp;"de la entidad a través del análisis normativo, la revisión y estructuración de contratos de las diferentes áreas, y la verificación del cumplimiento regulatorio en procesos de sucesión. El candidato seleccionado apoyará en la asesoría jurídica interna med"&amp;"iante la emisión de conceptos, elaborará boletines informativos sobre novedades regulatorias de los entes de control y gestionará de manera oportuna los requerimientos judiciales allegados. Asimismo, será responsable del seguimiento y actualización de los"&amp;" procesos de la coordinación legal, el mantenimiento de su sección en la página web institucional y las demás funciones afines asignadas por el área.
Ofrecemos Contrato de Aprendizaje, Pago: Salario Mínimo Legal Vigente + Afiliaciones a seguridad social "&amp;"+ beneficios que regula la ley para este tipo de contrato.
Horario de Practica lunes a viernes, Pago: Mensual, y proyección laboral dentro de la compañía.
Recuerda que NO debes tener reportes negativos actuales vigentes en Centrales de Riesgo.
NO PROFESIO"&amp;"NALES, UNICAMENTE ESTUDIANTES UNIVERSITARIOS en Derecho que cuente con Aval para iniciar prácticas profesionales.")</f>
        <v>Entidad Financiera se encuentra en búsqueda de ESTUDIANTES UNIVERSITARIOS en Derecho que cuente con Aval para iniciar prácticas profesionales inmediatamente o durante lo que resta del 2026.
Buscamos un estudiante profesional para apoyar la gestión legal de la entidad a través del análisis normativo, la revisión y estructuración de contratos de las diferentes áreas, y la verificación del cumplimiento regulatorio en procesos de sucesión. El candidato seleccionado apoyará en la asesoría jurídica interna mediante la emisión de conceptos, elaborará boletines informativos sobre novedades regulatorias de los entes de control y gestionará de manera oportuna los requerimientos judiciales allegados. Asimismo, será responsable del seguimiento y actualización de los procesos de la coordinación legal, el mantenimiento de su sección en la página web institucional y las demás funciones afines asignadas por el área.
Ofrecemos Contrato de Aprendizaje, Pago: Salario Mínimo Legal Vigente + Afiliaciones a seguridad social + beneficios que regula la ley para este tipo de contrato.
Horario de Practica lunes a viernes, Pago: Mensual, y proyección laboral dentro de la compañía.
Recuerda que NO debes tener reportes negativos actuales vigentes en Centrales de Riesgo.
NO PROFESIONALES, UNICAMENTE ESTUDIANTES UNIVERSITARIOS en Derecho que cuente con Aval para iniciar prácticas profesionales.</v>
      </c>
      <c r="E115" s="7" t="str">
        <f>IFERROR(__xludf.DUMMYFUNCTION("""COMPUTED_VALUE"""),"No")</f>
        <v>No</v>
      </c>
      <c r="F115" s="6" t="str">
        <f>IFERROR(__xludf.DUMMYFUNCTION("""COMPUTED_VALUE"""),"Bogotá (Chia, Cota, Sopó, Cajicá y alrededores)")</f>
        <v>Bogotá (Chia, Cota, Sopó, Cajicá y alrededores)</v>
      </c>
      <c r="G115" s="6" t="str">
        <f>IFERROR(__xludf.DUMMYFUNCTION("""COMPUTED_VALUE"""),"Derecho")</f>
        <v>Derecho</v>
      </c>
      <c r="H115" s="6" t="str">
        <f>IFERROR(__xludf.DUMMYFUNCTION("""COMPUTED_VALUE"""),"1 SMMLV")</f>
        <v>1 SMMLV</v>
      </c>
      <c r="I115" s="8">
        <f>IFERROR(__xludf.DUMMYFUNCTION("""COMPUTED_VALUE"""),46281.0)</f>
        <v>46281</v>
      </c>
      <c r="J115" s="8">
        <f>IFERROR(__xludf.DUMMYFUNCTION("""COMPUTED_VALUE"""),46511.0)</f>
        <v>46511</v>
      </c>
      <c r="K115" s="7" t="str">
        <f>IFERROR(__xludf.DUMMYFUNCTION("""COMPUTED_VALUE"""),"mariana.sanchez@accivalores.com")</f>
        <v>mariana.sanchez@accivalores.com</v>
      </c>
      <c r="L115" s="3"/>
      <c r="M115" s="3"/>
      <c r="N115" s="3"/>
      <c r="O115" s="3"/>
      <c r="P115" s="3"/>
      <c r="Q115" s="3"/>
      <c r="R115" s="3"/>
      <c r="S115" s="3"/>
      <c r="T115" s="3"/>
      <c r="U115" s="3"/>
      <c r="V115" s="3"/>
      <c r="W115" s="3"/>
      <c r="X115" s="3"/>
      <c r="Y115" s="3"/>
    </row>
    <row r="116">
      <c r="A116" s="6" t="str">
        <f>IFERROR(__xludf.DUMMYFUNCTION("""COMPUTED_VALUE"""),"PLAST INNOVA SA")</f>
        <v>PLAST INNOVA SA</v>
      </c>
      <c r="B116" s="6" t="str">
        <f>IFERROR(__xludf.DUMMYFUNCTION("""COMPUTED_VALUE"""),"Ciclo tecnológico, Ciclo profesional")</f>
        <v>Ciclo tecnológico, Ciclo profesional</v>
      </c>
      <c r="C116" s="6" t="str">
        <f>IFERROR(__xludf.DUMMYFUNCTION("""COMPUTED_VALUE"""),"Tecnología en Gestión Contable")</f>
        <v>Tecnología en Gestión Contable</v>
      </c>
      <c r="D116" s="6" t="str">
        <f>IFERROR(__xludf.DUMMYFUNCTION("""COMPUTED_VALUE"""),"Empresa del sector Industrial con 20 años de trayectoria, líder en la comercialización de lujos y accesorios para vehículos de carga, busca para el equipo de Cartera, personal activo, dinámico, alta atención al detalle, confidencialidad y organización. ")</f>
        <v>Empresa del sector Industrial con 20 años de trayectoria, líder en la comercialización de lujos y accesorios para vehículos de carga, busca para el equipo de Cartera, personal activo, dinámico, alta atención al detalle, confidencialidad y organización. </v>
      </c>
      <c r="E116" s="7" t="str">
        <f>IFERROR(__xludf.DUMMYFUNCTION("""COMPUTED_VALUE"""),"Si")</f>
        <v>Si</v>
      </c>
      <c r="F116" s="6" t="str">
        <f>IFERROR(__xludf.DUMMYFUNCTION("""COMPUTED_VALUE"""),"Bogotá (Chia, Cota, Sopó, Cajicá y alrededores)")</f>
        <v>Bogotá (Chia, Cota, Sopó, Cajicá y alrededores)</v>
      </c>
      <c r="G116" s="6" t="str">
        <f>IFERROR(__xludf.DUMMYFUNCTION("""COMPUTED_VALUE"""),"Contaduría Pública, Administración de Empresas Virtual")</f>
        <v>Contaduría Pública, Administración de Empresas Virtual</v>
      </c>
      <c r="H116" s="6" t="str">
        <f>IFERROR(__xludf.DUMMYFUNCTION("""COMPUTED_VALUE"""),"1 SMMLV")</f>
        <v>1 SMMLV</v>
      </c>
      <c r="I116" s="8">
        <f>IFERROR(__xludf.DUMMYFUNCTION("""COMPUTED_VALUE"""),46281.0)</f>
        <v>46281</v>
      </c>
      <c r="J116" s="8">
        <f>IFERROR(__xludf.DUMMYFUNCTION("""COMPUTED_VALUE"""),46295.0)</f>
        <v>46295</v>
      </c>
      <c r="K116" s="7" t="str">
        <f>IFERROR(__xludf.DUMMYFUNCTION("""COMPUTED_VALUE"""),"RECURSOSHUMANOS@PLAST-INNOVA.COM.CO")</f>
        <v>RECURSOSHUMANOS@PLAST-INNOVA.COM.CO</v>
      </c>
      <c r="L116" s="3"/>
      <c r="M116" s="3"/>
      <c r="N116" s="3"/>
      <c r="O116" s="3"/>
      <c r="P116" s="3"/>
      <c r="Q116" s="3"/>
      <c r="R116" s="3"/>
      <c r="S116" s="3"/>
      <c r="T116" s="3"/>
      <c r="U116" s="3"/>
      <c r="V116" s="3"/>
      <c r="W116" s="3"/>
      <c r="X116" s="3"/>
      <c r="Y116" s="3"/>
    </row>
    <row r="117">
      <c r="A117" s="6" t="str">
        <f>IFERROR(__xludf.DUMMYFUNCTION("""COMPUTED_VALUE"""),"PLAST INNOVA SA")</f>
        <v>PLAST INNOVA SA</v>
      </c>
      <c r="B117" s="6" t="str">
        <f>IFERROR(__xludf.DUMMYFUNCTION("""COMPUTED_VALUE"""),"Ciclo tecnológico")</f>
        <v>Ciclo tecnológico</v>
      </c>
      <c r="C117" s="6" t="str">
        <f>IFERROR(__xludf.DUMMYFUNCTION("""COMPUTED_VALUE"""),"Tecnología en Gestión Contable")</f>
        <v>Tecnología en Gestión Contable</v>
      </c>
      <c r="D117" s="6" t="str">
        <f>IFERROR(__xludf.DUMMYFUNCTION("""COMPUTED_VALUE"""),"Empresa del sector Industrial con 20 años de trayectoria, líder en la comercialización de lujos y accesorios para vehículos de carga, busca para el equipo de gestión humana, personal activo, dinámico, alta atención al detalle, confidencialidad y organizac"&amp;"ión. Gestión integral de novedades de Nomina, como también apoyar en procesos generales del área de gestión humana.")</f>
        <v>Empresa del sector Industrial con 20 años de trayectoria, líder en la comercialización de lujos y accesorios para vehículos de carga, busca para el equipo de gestión humana, personal activo, dinámico, alta atención al detalle, confidencialidad y organización. Gestión integral de novedades de Nomina, como también apoyar en procesos generales del área de gestión humana.</v>
      </c>
      <c r="E117" s="7" t="str">
        <f>IFERROR(__xludf.DUMMYFUNCTION("""COMPUTED_VALUE"""),"Si")</f>
        <v>Si</v>
      </c>
      <c r="F117" s="6" t="str">
        <f>IFERROR(__xludf.DUMMYFUNCTION("""COMPUTED_VALUE"""),"Bogotá (Chia, Cota, Sopó, Cajicá y alrededores)")</f>
        <v>Bogotá (Chia, Cota, Sopó, Cajicá y alrededores)</v>
      </c>
      <c r="G117" s="6" t="str">
        <f>IFERROR(__xludf.DUMMYFUNCTION("""COMPUTED_VALUE"""),"Contaduría Pública")</f>
        <v>Contaduría Pública</v>
      </c>
      <c r="H117" s="6" t="str">
        <f>IFERROR(__xludf.DUMMYFUNCTION("""COMPUTED_VALUE"""),"1 SMMLV")</f>
        <v>1 SMMLV</v>
      </c>
      <c r="I117" s="8">
        <f>IFERROR(__xludf.DUMMYFUNCTION("""COMPUTED_VALUE"""),46281.0)</f>
        <v>46281</v>
      </c>
      <c r="J117" s="8">
        <f>IFERROR(__xludf.DUMMYFUNCTION("""COMPUTED_VALUE"""),46295.0)</f>
        <v>46295</v>
      </c>
      <c r="K117" s="7" t="str">
        <f>IFERROR(__xludf.DUMMYFUNCTION("""COMPUTED_VALUE"""),"RECURSOSHUMANOS@PLAST-INNOVA.COM.CO")</f>
        <v>RECURSOSHUMANOS@PLAST-INNOVA.COM.CO</v>
      </c>
      <c r="L117" s="3"/>
      <c r="M117" s="3"/>
      <c r="N117" s="3"/>
      <c r="O117" s="3"/>
      <c r="P117" s="3"/>
      <c r="Q117" s="3"/>
      <c r="R117" s="3"/>
      <c r="S117" s="3"/>
      <c r="T117" s="3"/>
      <c r="U117" s="3"/>
      <c r="V117" s="3"/>
      <c r="W117" s="3"/>
      <c r="X117" s="3"/>
      <c r="Y117" s="3"/>
    </row>
    <row r="118">
      <c r="A118" s="6" t="str">
        <f>IFERROR(__xludf.DUMMYFUNCTION("""COMPUTED_VALUE""")," PERSONAL SOFT S A S")</f>
        <v> PERSONAL SOFT S A S</v>
      </c>
      <c r="B118" s="6" t="str">
        <f>IFERROR(__xludf.DUMMYFUNCTION("""COMPUTED_VALUE"""),"Ciclo tecnológico")</f>
        <v>Ciclo tecnológico</v>
      </c>
      <c r="C118" s="6" t="str">
        <f>IFERROR(__xludf.DUMMYFUNCTION("""COMPUTED_VALUE"""),"Tecnología en Gestión Contable")</f>
        <v>Tecnología en Gestión Contable</v>
      </c>
      <c r="D118" s="6" t="str">
        <f>IFERROR(__xludf.DUMMYFUNCTION("""COMPUTED_VALUE"""),"Estamos en búsqueda de un(a) practicante de Activos Fijos y Compras que quiera impulsar su desarrollo profesional y adquirir experiencia en procesos administrativos, contables y de abastecimiento.")</f>
        <v>Estamos en búsqueda de un(a) practicante de Activos Fijos y Compras que quiera impulsar su desarrollo profesional y adquirir experiencia en procesos administrativos, contables y de abastecimiento.</v>
      </c>
      <c r="E118" s="7" t="str">
        <f>IFERROR(__xludf.DUMMYFUNCTION("""COMPUTED_VALUE"""),"No")</f>
        <v>No</v>
      </c>
      <c r="F118" s="6" t="str">
        <f>IFERROR(__xludf.DUMMYFUNCTION("""COMPUTED_VALUE"""),"Medellín")</f>
        <v>Medellín</v>
      </c>
      <c r="G118" s="6" t="str">
        <f>IFERROR(__xludf.DUMMYFUNCTION("""COMPUTED_VALUE"""),"Contaduría Pública")</f>
        <v>Contaduría Pública</v>
      </c>
      <c r="H118" s="6" t="str">
        <f>IFERROR(__xludf.DUMMYFUNCTION("""COMPUTED_VALUE"""),"1 SMMLV")</f>
        <v>1 SMMLV</v>
      </c>
      <c r="I118" s="8">
        <f>IFERROR(__xludf.DUMMYFUNCTION("""COMPUTED_VALUE"""),46281.0)</f>
        <v>46281</v>
      </c>
      <c r="J118" s="8">
        <f>IFERROR(__xludf.DUMMYFUNCTION("""COMPUTED_VALUE"""),46291.0)</f>
        <v>46291</v>
      </c>
      <c r="K118" s="7" t="str">
        <f>IFERROR(__xludf.DUMMYFUNCTION("""COMPUTED_VALUE"""),"prseleccion@personalsoft.com")</f>
        <v>prseleccion@personalsoft.com</v>
      </c>
      <c r="L118" s="3"/>
      <c r="M118" s="3"/>
      <c r="N118" s="3"/>
      <c r="O118" s="3"/>
      <c r="P118" s="3"/>
      <c r="Q118" s="3"/>
      <c r="R118" s="3"/>
      <c r="S118" s="3"/>
      <c r="T118" s="3"/>
      <c r="U118" s="3"/>
      <c r="V118" s="3"/>
      <c r="W118" s="3"/>
      <c r="X118" s="3"/>
      <c r="Y118" s="3"/>
    </row>
    <row r="119">
      <c r="A119" s="6" t="str">
        <f>IFERROR(__xludf.DUMMYFUNCTION("""COMPUTED_VALUE"""),"JETSMART AIRLINES S.A.S")</f>
        <v>JETSMART AIRLINES S.A.S</v>
      </c>
      <c r="B119" s="6" t="str">
        <f>IFERROR(__xludf.DUMMYFUNCTION("""COMPUTED_VALUE"""),"Ciclo tecnológico")</f>
        <v>Ciclo tecnológico</v>
      </c>
      <c r="C119" s="6" t="str">
        <f>IFERROR(__xludf.DUMMYFUNCTION("""COMPUTED_VALUE"""),"Tecnología en Gestión Contable")</f>
        <v>Tecnología en Gestión Contable</v>
      </c>
      <c r="D119" s="6" t="str">
        <f>IFERROR(__xludf.DUMMYFUNCTION("""COMPUTED_VALUE"""),"Buscamos Aprendiz de Finanzas que quiera desarrollar su experiência profesional en el sector aeronáutico, apoyando procesos administrativos, contables y financieros, gestión documental, facturación, elaboración de reportes y seguimiento de información.
S"&amp;"i eres estudiante técnico o tecnólogo en Contabilidad, Finanzas, Administración o áreas afines, estás habilitado para realizar contrato de aprendizaje y te caracterizas por ser una persona organizada, analítica y con muchas ganas de aprender, ¡esta oportu"&amp;"nidad puede ser para ti!
° Principales responsabilidades
Apoyar la gestión y organización de documentos financieros y contables.
Realizar seguimiento y actualización de bases de datos e información financiera.
Apoyar procesos de facturación, revisión de "&amp;"documentos y cuentas por pagar.
Dar soporte en la validación y organización de soportes para procesos contables.
Apoyar la elaboración y actualización de reportes e indicadores del área.
Realizar conciliaciones y validaciones de información, de acuerdo co"&amp;"n los procedimientos establecidos.
Apoyar el seguimiento a proveedores y requerimientos internos relacionados con procesos financieros.
Mantener actualizados los archivos físicos y digitales del área.
Atender solicitudes administrativas de las diferentes "&amp;"áreas de la compañía.
Apoyar actividades relacionadas con control interno, auditorías y cierres contables, según las necesidades del área.
Cumplir con las políticas, procedimientos y controles establecidos por la compañía.
Horarios: Lunes a Viernes: 8:00"&amp;" am a 5:00 pm (Hibrido 3x2/ 3 días en oficina y 2 días en casa) 
Lugar de trabajo: Chico ")</f>
        <v>Buscamos Aprendiz de Finanzas que quiera desarrollar su experiência profesional en el sector aeronáutico, apoyando procesos administrativos, contables y financieros, gestión documental, facturación, elaboración de reportes y seguimiento de información.
Si eres estudiante técnico o tecnólogo en Contabilidad, Finanzas, Administración o áreas afines, estás habilitado para realizar contrato de aprendizaje y te caracterizas por ser una persona organizada, analítica y con muchas ganas de aprender, ¡esta oportunidad puede ser para ti!
° Principales responsabilidades
Apoyar la gestión y organización de documentos financieros y contables.
Realizar seguimiento y actualización de bases de datos e información financiera.
Apoyar procesos de facturación, revisión de documentos y cuentas por pagar.
Dar soporte en la validación y organización de soportes para procesos contables.
Apoyar la elaboración y actualización de reportes e indicadores del área.
Realizar conciliaciones y validaciones de información, de acuerdo con los procedimientos establecidos.
Apoyar el seguimiento a proveedores y requerimientos internos relacionados con procesos financieros.
Mantener actualizados los archivos físicos y digitales del área.
Atender solicitudes administrativas de las diferentes áreas de la compañía.
Apoyar actividades relacionadas con control interno, auditorías y cierres contables, según las necesidades del área.
Cumplir con las políticas, procedimientos y controles establecidos por la compañía.
Horarios: Lunes a Viernes: 8:00 am a 5:00 pm (Hibrido 3x2/ 3 días en oficina y 2 días en casa) 
Lugar de trabajo: Chico </v>
      </c>
      <c r="E119" s="7" t="str">
        <f>IFERROR(__xludf.DUMMYFUNCTION("""COMPUTED_VALUE"""),"No")</f>
        <v>No</v>
      </c>
      <c r="F119" s="6" t="str">
        <f>IFERROR(__xludf.DUMMYFUNCTION("""COMPUTED_VALUE"""),"Bogotá (Chia, Cota, Sopó, Cajicá y alrededores)")</f>
        <v>Bogotá (Chia, Cota, Sopó, Cajicá y alrededores)</v>
      </c>
      <c r="G119" s="6" t="str">
        <f>IFERROR(__xludf.DUMMYFUNCTION("""COMPUTED_VALUE"""),"Contaduría Pública, Ingeniería Mecatrónica")</f>
        <v>Contaduría Pública, Ingeniería Mecatrónica</v>
      </c>
      <c r="H119" s="6" t="str">
        <f>IFERROR(__xludf.DUMMYFUNCTION("""COMPUTED_VALUE"""),"1 SMMLV")</f>
        <v>1 SMMLV</v>
      </c>
      <c r="I119" s="8">
        <f>IFERROR(__xludf.DUMMYFUNCTION("""COMPUTED_VALUE"""),46314.0)</f>
        <v>46314</v>
      </c>
      <c r="J119" s="8">
        <f>IFERROR(__xludf.DUMMYFUNCTION("""COMPUTED_VALUE"""),46325.0)</f>
        <v>46325</v>
      </c>
      <c r="K119" s="7" t="str">
        <f>IFERROR(__xludf.DUMMYFUNCTION("""COMPUTED_VALUE"""),"maria.becerra@jetsmart.com")</f>
        <v>maria.becerra@jetsmart.com</v>
      </c>
      <c r="L119" s="3"/>
      <c r="M119" s="3"/>
      <c r="N119" s="3"/>
      <c r="O119" s="3"/>
      <c r="P119" s="3"/>
      <c r="Q119" s="3"/>
      <c r="R119" s="3"/>
      <c r="S119" s="3"/>
      <c r="T119" s="3"/>
      <c r="U119" s="3"/>
      <c r="V119" s="3"/>
      <c r="W119" s="3"/>
      <c r="X119" s="3"/>
      <c r="Y119" s="3"/>
    </row>
    <row r="120">
      <c r="A120" s="6" t="str">
        <f>IFERROR(__xludf.DUMMYFUNCTION("""COMPUTED_VALUE"""),"MAS METROS SAS")</f>
        <v>MAS METROS SAS</v>
      </c>
      <c r="B120" s="6" t="str">
        <f>IFERROR(__xludf.DUMMYFUNCTION("""COMPUTED_VALUE"""),"Ciclo tecnológico")</f>
        <v>Ciclo tecnológico</v>
      </c>
      <c r="C120" s="6" t="str">
        <f>IFERROR(__xludf.DUMMYFUNCTION("""COMPUTED_VALUE"""),"Tecnología en Gestión Contable")</f>
        <v>Tecnología en Gestión Contable</v>
      </c>
      <c r="D120" s="6" t="str">
        <f>IFERROR(__xludf.DUMMYFUNCTION("""COMPUTED_VALUE"""),"MAS METROS S.A.S., empresa del sector de transporte, mudanzas y almacenamiento, requiere aprendices para apoyar las áreas Comercial y Administrativa, con el objetivo de desarrollar su etapa práctica o productiva. Los aprendices apoyarán actividades relaci"&amp;"onadas con gestión comercial, servicio al cliente, manejo de información, seguimiento de procesos, elaboración y organización de documentos y demás actividades administrativas y comerciales. La práctica se desarrollará de manera presencial en Bogotá, bajo"&amp;" las condiciones establecidas para el contrato de aprendizaje.")</f>
        <v>MAS METROS S.A.S., empresa del sector de transporte, mudanzas y almacenamiento, requiere aprendices para apoyar las áreas Comercial y Administrativa, con el objetivo de desarrollar su etapa práctica o productiva. Los aprendices apoyarán actividades relacionadas con gestión comercial, servicio al cliente, manejo de información, seguimiento de procesos, elaboración y organización de documentos y demás actividades administrativas y comerciales. La práctica se desarrollará de manera presencial en Bogotá, bajo las condiciones establecidas para el contrato de aprendizaje.</v>
      </c>
      <c r="E120" s="7" t="str">
        <f>IFERROR(__xludf.DUMMYFUNCTION("""COMPUTED_VALUE"""),"Si")</f>
        <v>Si</v>
      </c>
      <c r="F120" s="6" t="str">
        <f>IFERROR(__xludf.DUMMYFUNCTION("""COMPUTED_VALUE"""),"Bogotá (Chia, Cota, Sopó, Cajicá y alrededores)")</f>
        <v>Bogotá (Chia, Cota, Sopó, Cajicá y alrededores)</v>
      </c>
      <c r="G120" s="6" t="str">
        <f>IFERROR(__xludf.DUMMYFUNCTION("""COMPUTED_VALUE"""),"Administración de Empresas Virtual")</f>
        <v>Administración de Empresas Virtual</v>
      </c>
      <c r="H120" s="6" t="str">
        <f>IFERROR(__xludf.DUMMYFUNCTION("""COMPUTED_VALUE"""),"1 SMMLV")</f>
        <v>1 SMMLV</v>
      </c>
      <c r="I120" s="8">
        <f>IFERROR(__xludf.DUMMYFUNCTION("""COMPUTED_VALUE"""),46282.0)</f>
        <v>46282</v>
      </c>
      <c r="J120" s="8">
        <f>IFERROR(__xludf.DUMMYFUNCTION("""COMPUTED_VALUE"""),46326.0)</f>
        <v>46326</v>
      </c>
      <c r="K120" s="7" t="str">
        <f>IFERROR(__xludf.DUMMYFUNCTION("""COMPUTED_VALUE"""),"talentohumano@masmetros.com.co")</f>
        <v>talentohumano@masmetros.com.co</v>
      </c>
      <c r="L120" s="3"/>
      <c r="M120" s="3"/>
      <c r="N120" s="3"/>
      <c r="O120" s="3"/>
      <c r="P120" s="3"/>
      <c r="Q120" s="3"/>
      <c r="R120" s="3"/>
      <c r="S120" s="3"/>
      <c r="T120" s="3"/>
      <c r="U120" s="3"/>
      <c r="V120" s="3"/>
      <c r="W120" s="3"/>
      <c r="X120" s="3"/>
      <c r="Y120" s="3"/>
    </row>
    <row r="121">
      <c r="A121" s="6" t="str">
        <f>IFERROR(__xludf.DUMMYFUNCTION("""COMPUTED_VALUE"""),"CLUB EL NOGAL")</f>
        <v>CLUB EL NOGAL</v>
      </c>
      <c r="B121" s="6" t="str">
        <f>IFERROR(__xludf.DUMMYFUNCTION("""COMPUTED_VALUE"""),"Ciclo tecnológico")</f>
        <v>Ciclo tecnológico</v>
      </c>
      <c r="C121" s="6" t="str">
        <f>IFERROR(__xludf.DUMMYFUNCTION("""COMPUTED_VALUE"""),"Tecnología en Gestión Contable, Tecnología en Gestión de Comercio Exterior")</f>
        <v>Tecnología en Gestión Contable, Tecnología en Gestión de Comercio Exterior</v>
      </c>
      <c r="D121" s="6" t="str">
        <f>IFERROR(__xludf.DUMMYFUNCTION("""COMPUTED_VALUE"""),"Empresa del sector de servicio requiere aprendiz en el área de contabilidad o compras para realizar el apoyo administrativo según corresponda el área y formación academica, contrato aprendizaje sena horario  lunes a viernes de 8 am a 5 30 pm se otorga con"&amp;"trato aprendizaje sena + smlv + prestaciones de ley 
 almuerzo + dotación")</f>
        <v>Empresa del sector de servicio requiere aprendiz en el área de contabilidad o compras para realizar el apoyo administrativo según corresponda el área y formación academica, contrato aprendizaje sena horario  lunes a viernes de 8 am a 5 30 pm se otorga contrato aprendizaje sena + smlv + prestaciones de ley 
 almuerzo + dotación</v>
      </c>
      <c r="E121" s="7" t="str">
        <f>IFERROR(__xludf.DUMMYFUNCTION("""COMPUTED_VALUE"""),"No")</f>
        <v>No</v>
      </c>
      <c r="F121" s="6" t="str">
        <f>IFERROR(__xludf.DUMMYFUNCTION("""COMPUTED_VALUE"""),"Bogotá (Chia, Cota, Sopó, Cajicá y alrededores)")</f>
        <v>Bogotá (Chia, Cota, Sopó, Cajicá y alrededores)</v>
      </c>
      <c r="G121" s="6" t="str">
        <f>IFERROR(__xludf.DUMMYFUNCTION("""COMPUTED_VALUE"""),"Contaduría Pública, Comercio Internacional")</f>
        <v>Contaduría Pública, Comercio Internacional</v>
      </c>
      <c r="H121" s="6" t="str">
        <f>IFERROR(__xludf.DUMMYFUNCTION("""COMPUTED_VALUE"""),"1 SMMLV")</f>
        <v>1 SMMLV</v>
      </c>
      <c r="I121" s="8">
        <f>IFERROR(__xludf.DUMMYFUNCTION("""COMPUTED_VALUE"""),46284.0)</f>
        <v>46284</v>
      </c>
      <c r="J121" s="8">
        <f>IFERROR(__xludf.DUMMYFUNCTION("""COMPUTED_VALUE"""),46325.0)</f>
        <v>46325</v>
      </c>
      <c r="K121" s="7" t="str">
        <f>IFERROR(__xludf.DUMMYFUNCTION("""COMPUTED_VALUE"""),"mvega@clubelnogal.com")</f>
        <v>mvega@clubelnogal.com</v>
      </c>
      <c r="L121" s="3"/>
      <c r="M121" s="3"/>
      <c r="N121" s="3"/>
      <c r="O121" s="3"/>
      <c r="P121" s="3"/>
      <c r="Q121" s="3"/>
      <c r="R121" s="3"/>
      <c r="S121" s="3"/>
      <c r="T121" s="3"/>
      <c r="U121" s="3"/>
      <c r="V121" s="3"/>
      <c r="W121" s="3"/>
      <c r="X121" s="3"/>
      <c r="Y121" s="3"/>
    </row>
    <row r="122">
      <c r="A122" s="6" t="str">
        <f>IFERROR(__xludf.DUMMYFUNCTION("""COMPUTED_VALUE"""),"TOXEMENT S.A.S")</f>
        <v>TOXEMENT S.A.S</v>
      </c>
      <c r="B122" s="6" t="str">
        <f>IFERROR(__xludf.DUMMYFUNCTION("""COMPUTED_VALUE"""),"Ciclo tecnológico")</f>
        <v>Ciclo tecnológico</v>
      </c>
      <c r="C122" s="6" t="str">
        <f>IFERROR(__xludf.DUMMYFUNCTION("""COMPUTED_VALUE"""),"Tecnología en Procesos Químicos Industriales")</f>
        <v>Tecnología en Procesos Químicos Industriales</v>
      </c>
      <c r="D122" s="6" t="str">
        <f>IFERROR(__xludf.DUMMYFUNCTION("""COMPUTED_VALUE"""),"En Toxement buscamos Aprendiz para el área de Calidad en Tocancipá, con ganas de aprender, aportar sus conocimientos y adquirir experiencia en el sector de químicos para la construcción. Si eres estudiante en etapa productiva de un programa relacionado co"&amp;"n Calidad, Procesos Industriales, Química o áreas afines, eres una persona proactiva, organizada, responsable y con atención al detalle, ¡queremos conocerte! Ofrecemos vinculación mediante contrato fijo especial de aprendizaje y la oportunidad de desarrol"&amp;"lar tus habilidades en un entorno profesional. Horario Lunes a viernes 7:00 am a 4:00 pm. Ofrecemos el SMLV, más beneficios de ruta (Bogotá y Sabana Norte) y Casino ")</f>
        <v>En Toxement buscamos Aprendiz para el área de Calidad en Tocancipá, con ganas de aprender, aportar sus conocimientos y adquirir experiencia en el sector de químicos para la construcción. Si eres estudiante en etapa productiva de un programa relacionado con Calidad, Procesos Industriales, Química o áreas afines, eres una persona proactiva, organizada, responsable y con atención al detalle, ¡queremos conocerte! Ofrecemos vinculación mediante contrato fijo especial de aprendizaje y la oportunidad de desarrollar tus habilidades en un entorno profesional. Horario Lunes a viernes 7:00 am a 4:00 pm. Ofrecemos el SMLV, más beneficios de ruta (Bogotá y Sabana Norte) y Casino </v>
      </c>
      <c r="E122" s="7" t="str">
        <f>IFERROR(__xludf.DUMMYFUNCTION("""COMPUTED_VALUE"""),"No")</f>
        <v>No</v>
      </c>
      <c r="F122" s="6" t="str">
        <f>IFERROR(__xludf.DUMMYFUNCTION("""COMPUTED_VALUE"""),"Bogotá (Chia, Cota, Sopó, Cajicá y alrededores)")</f>
        <v>Bogotá (Chia, Cota, Sopó, Cajicá y alrededores)</v>
      </c>
      <c r="G122" s="6" t="str">
        <f>IFERROR(__xludf.DUMMYFUNCTION("""COMPUTED_VALUE"""),"Ingeniería Química, Ingeniería Industrial")</f>
        <v>Ingeniería Química, Ingeniería Industrial</v>
      </c>
      <c r="H122" s="6" t="str">
        <f>IFERROR(__xludf.DUMMYFUNCTION("""COMPUTED_VALUE"""),"1 SMMLV")</f>
        <v>1 SMMLV</v>
      </c>
      <c r="I122" s="8">
        <f>IFERROR(__xludf.DUMMYFUNCTION("""COMPUTED_VALUE"""),46283.0)</f>
        <v>46283</v>
      </c>
      <c r="J122" s="8">
        <f>IFERROR(__xludf.DUMMYFUNCTION("""COMPUTED_VALUE"""),46297.0)</f>
        <v>46297</v>
      </c>
      <c r="K122" s="7" t="str">
        <f>IFERROR(__xludf.DUMMYFUNCTION("""COMPUTED_VALUE"""),"juliekcanon@euclidchemical.com.co")</f>
        <v>juliekcanon@euclidchemical.com.co</v>
      </c>
      <c r="L122" s="3"/>
      <c r="M122" s="3"/>
      <c r="N122" s="3"/>
      <c r="O122" s="3"/>
      <c r="P122" s="3"/>
      <c r="Q122" s="3"/>
      <c r="R122" s="3"/>
      <c r="S122" s="3"/>
      <c r="T122" s="3"/>
      <c r="U122" s="3"/>
      <c r="V122" s="3"/>
      <c r="W122" s="3"/>
      <c r="X122" s="3"/>
      <c r="Y122" s="3"/>
    </row>
    <row r="123">
      <c r="A123" s="6" t="str">
        <f>IFERROR(__xludf.DUMMYFUNCTION("""COMPUTED_VALUE"""),"SERVICIOS ESPECIALIZADOS DE TECNOLOGÍA E INFORMÁTICA ""SETI"" S.A.S.")</f>
        <v>SERVICIOS ESPECIALIZADOS DE TECNOLOGÍA E INFORMÁTICA "SETI" S.A.S.</v>
      </c>
      <c r="B123" s="6" t="str">
        <f>IFERROR(__xludf.DUMMYFUNCTION("""COMPUTED_VALUE"""),"Ciclo tecnológico")</f>
        <v>Ciclo tecnológico</v>
      </c>
      <c r="C123" s="6" t="str">
        <f>IFERROR(__xludf.DUMMYFUNCTION("""COMPUTED_VALUE"""),"Tecnología en Gestión Contable")</f>
        <v>Tecnología en Gestión Contable</v>
      </c>
      <c r="D123" s="6" t="str">
        <f>IFERROR(__xludf.DUMMYFUNCTION("""COMPUTED_VALUE"""),"Empresa del sector de tecnología e informática se encuentra en búsqueda de estudiantes de carreras tecnológicas en Contabilidad, Finanzas o áreas afines, interesados en realizar sus prácticas productivas dentro de nuestra compañía.
Requisitos:
Ser estud"&amp;"iante de un programa tecnológico en Contabilidad, Finanzas o áreas relacionadas.
Contar con el aval de la institución educativa para realizar las prácticas productivas.
Tener disponibilidad para cumplir con el horario establecido.
Condiciones de la prá"&amp;"ctica:
Modalidad: Híbrida.
Horario: Lunes a viernes.
Lugar de trabajo: El Poblado.
Tipo de vinculación: Práctica productiva.
Si estás interesado(a) en adquirir experiencia y fortalecer tus conocimientos en un entorno empresarial del sector tecnológic"&amp;"o, ¡te invitamos a postularte!")</f>
        <v>Empresa del sector de tecnología e informática se encuentra en búsqueda de estudiantes de carreras tecnológicas en Contabilidad, Finanzas o áreas afines, interesados en realizar sus prácticas productivas dentro de nuestra compañía.
Requisitos:
Ser estudiante de un programa tecnológico en Contabilidad, Finanzas o áreas relacionadas.
Contar con el aval de la institución educativa para realizar las prácticas productivas.
Tener disponibilidad para cumplir con el horario establecido.
Condiciones de la práctica:
Modalidad: Híbrida.
Horario: Lunes a viernes.
Lugar de trabajo: El Poblado.
Tipo de vinculación: Práctica productiva.
Si estás interesado(a) en adquirir experiencia y fortalecer tus conocimientos en un entorno empresarial del sector tecnológico, ¡te invitamos a postularte!</v>
      </c>
      <c r="E123" s="7" t="str">
        <f>IFERROR(__xludf.DUMMYFUNCTION("""COMPUTED_VALUE"""),"Si")</f>
        <v>Si</v>
      </c>
      <c r="F123" s="6" t="str">
        <f>IFERROR(__xludf.DUMMYFUNCTION("""COMPUTED_VALUE"""),"Medellín")</f>
        <v>Medellín</v>
      </c>
      <c r="G123" s="6" t="str">
        <f>IFERROR(__xludf.DUMMYFUNCTION("""COMPUTED_VALUE"""),"Contaduría Pública")</f>
        <v>Contaduría Pública</v>
      </c>
      <c r="H123" s="6" t="str">
        <f>IFERROR(__xludf.DUMMYFUNCTION("""COMPUTED_VALUE"""),"1 SMMLV")</f>
        <v>1 SMMLV</v>
      </c>
      <c r="I123" s="8">
        <f>IFERROR(__xludf.DUMMYFUNCTION("""COMPUTED_VALUE"""),46282.0)</f>
        <v>46282</v>
      </c>
      <c r="J123" s="8">
        <f>IFERROR(__xludf.DUMMYFUNCTION("""COMPUTED_VALUE"""),46295.0)</f>
        <v>46295</v>
      </c>
      <c r="K123" s="7" t="str">
        <f>IFERROR(__xludf.DUMMYFUNCTION("""COMPUTED_VALUE"""),"lilianacastaneda@seti.com.co")</f>
        <v>lilianacastaneda@seti.com.co</v>
      </c>
      <c r="L123" s="3"/>
      <c r="M123" s="3"/>
      <c r="N123" s="3"/>
      <c r="O123" s="3"/>
      <c r="P123" s="3"/>
      <c r="Q123" s="3"/>
      <c r="R123" s="3"/>
      <c r="S123" s="3"/>
      <c r="T123" s="3"/>
      <c r="U123" s="3"/>
      <c r="V123" s="3"/>
      <c r="W123" s="3"/>
      <c r="X123" s="3"/>
      <c r="Y123" s="3"/>
    </row>
    <row r="124">
      <c r="A124" s="6" t="str">
        <f>IFERROR(__xludf.DUMMYFUNCTION("""COMPUTED_VALUE"""),"EQUIPOS Y CONTROLES INDUSTRIALES S.A ")</f>
        <v>EQUIPOS Y CONTROLES INDUSTRIALES S.A </v>
      </c>
      <c r="B124" s="6" t="str">
        <f>IFERROR(__xludf.DUMMYFUNCTION("""COMPUTED_VALUE"""),"Ciclo tecnológico, Ciclo profesional")</f>
        <v>Ciclo tecnológico, Ciclo profesional</v>
      </c>
      <c r="C124" s="6" t="str">
        <f>IFERROR(__xludf.DUMMYFUNCTION("""COMPUTED_VALUE"""),"Tecnología en Gestión Ambiental")</f>
        <v>Tecnología en Gestión Ambiental</v>
      </c>
      <c r="D124" s="6" t="str">
        <f>IFERROR(__xludf.DUMMYFUNCTION("""COMPUTED_VALUE"""),"Buscamos Practicante Ambiental para apoyar la implementación, mantenimiento y mejora del Sistema de Gestión Ambiental (SGA) de la organización, contribuyendo al cumplimiento de los requisitos legales, normativos y organizacionales, así como al desarrollo "&amp;"de iniciativas orientadas a la sostenibilidad y la gestión responsable de los recursos.")</f>
        <v>Buscamos Practicante Ambiental para apoyar la implementación, mantenimiento y mejora del Sistema de Gestión Ambiental (SGA) de la organización, contribuyendo al cumplimiento de los requisitos legales, normativos y organizacionales, así como al desarrollo de iniciativas orientadas a la sostenibilidad y la gestión responsable de los recursos.</v>
      </c>
      <c r="E124" s="7" t="str">
        <f>IFERROR(__xludf.DUMMYFUNCTION("""COMPUTED_VALUE"""),"Si")</f>
        <v>Si</v>
      </c>
      <c r="F124" s="6" t="str">
        <f>IFERROR(__xludf.DUMMYFUNCTION("""COMPUTED_VALUE"""),"Bogotá (Chia, Cota, Sopó, Cajicá y alrededores)")</f>
        <v>Bogotá (Chia, Cota, Sopó, Cajicá y alrededores)</v>
      </c>
      <c r="G124" s="6" t="str">
        <f>IFERROR(__xludf.DUMMYFUNCTION("""COMPUTED_VALUE"""),"Ingeniería Ambiental")</f>
        <v>Ingeniería Ambiental</v>
      </c>
      <c r="H124" s="6" t="str">
        <f>IFERROR(__xludf.DUMMYFUNCTION("""COMPUTED_VALUE"""),"1 SMMLV")</f>
        <v>1 SMMLV</v>
      </c>
      <c r="I124" s="8">
        <f>IFERROR(__xludf.DUMMYFUNCTION("""COMPUTED_VALUE"""),46286.0)</f>
        <v>46286</v>
      </c>
      <c r="J124" s="8">
        <f>IFERROR(__xludf.DUMMYFUNCTION("""COMPUTED_VALUE"""),46290.0)</f>
        <v>46290</v>
      </c>
      <c r="K124" s="7" t="str">
        <f>IFERROR(__xludf.DUMMYFUNCTION("""COMPUTED_VALUE"""),"analistatalentohumano@eci.com.co")</f>
        <v>analistatalentohumano@eci.com.co</v>
      </c>
      <c r="L124" s="3"/>
      <c r="M124" s="3"/>
      <c r="N124" s="3"/>
      <c r="O124" s="3"/>
      <c r="P124" s="3"/>
      <c r="Q124" s="3"/>
      <c r="R124" s="3"/>
      <c r="S124" s="3"/>
      <c r="T124" s="3"/>
      <c r="U124" s="3"/>
      <c r="V124" s="3"/>
      <c r="W124" s="3"/>
      <c r="X124" s="3"/>
      <c r="Y124" s="3"/>
    </row>
    <row r="125">
      <c r="A125" s="6" t="str">
        <f>IFERROR(__xludf.DUMMYFUNCTION("""COMPUTED_VALUE"""),"FUNDACIÓN HOSPITAL SAN CARLOS")</f>
        <v>FUNDACIÓN HOSPITAL SAN CARLOS</v>
      </c>
      <c r="B125" s="6" t="str">
        <f>IFERROR(__xludf.DUMMYFUNCTION("""COMPUTED_VALUE"""),"Ciclo tecnológico, Ciclo profesional")</f>
        <v>Ciclo tecnológico, Ciclo profesional</v>
      </c>
      <c r="C125" s="6" t="str">
        <f>IFERROR(__xludf.DUMMYFUNCTION("""COMPUTED_VALUE"""),"Tecnología en Gestión Ambiental")</f>
        <v>Tecnología en Gestión Ambiental</v>
      </c>
      <c r="D125" s="6" t="str">
        <f>IFERROR(__xludf.DUMMYFUNCTION("""COMPUTED_VALUE"""),"Condiciones contractuales:
Salario: Un (1) Salario Mínimo Legal Mensual Vigente con todas las prestaciones de ley.
Contrato: Contrato de aprendizaje.
Horario: Lunes a jueves de 7:00 a.m. a 4:30 p.m. y viernes de 7:00 a.m. a 4:00 p.m.
Modalidad: Presen"&amp;"cial - Bogotá, Localidad Rafael Uribe Uribe.
Funciones principales:
Gestión de aspectos ambientales para mitigar impactos negativos y potencializar aquellos positivos (Inspecciones a los diferentes servicios para validar el cumplimiento de SGA).
Docume"&amp;"ntación de los planes, programas y proyectos ambientales.
Apoyar las actividades de restauración y mantenimiento de la huerta institucional.
Seguimiento del PGIRASA, de conformidad con la Resolución 591 de 2024.
Apoyar el desarrollo de capacitaciones y"&amp;" actividades de educación ambiental.
Colaborar en el diligenciamiento de formatos, consolidación de indicadores y demás actividades inherentes al área ambiental.")</f>
        <v>Condiciones contractuales:
Salario: Un (1) Salario Mínimo Legal Mensual Vigente con todas las prestaciones de ley.
Contrato: Contrato de aprendizaje.
Horario: Lunes a jueves de 7:00 a.m. a 4:30 p.m. y viernes de 7:00 a.m. a 4:00 p.m.
Modalidad: Presencial - Bogotá, Localidad Rafael Uribe Uribe.
Funciones principales:
Gestión de aspectos ambientales para mitigar impactos negativos y potencializar aquellos positivos (Inspecciones a los diferentes servicios para validar el cumplimiento de SGA).
Documentación de los planes, programas y proyectos ambientales.
Apoyar las actividades de restauración y mantenimiento de la huerta institucional.
Seguimiento del PGIRASA, de conformidad con la Resolución 591 de 2024.
Apoyar el desarrollo de capacitaciones y actividades de educación ambiental.
Colaborar en el diligenciamiento de formatos, consolidación de indicadores y demás actividades inherentes al área ambiental.</v>
      </c>
      <c r="E125" s="7" t="str">
        <f>IFERROR(__xludf.DUMMYFUNCTION("""COMPUTED_VALUE"""),"Si")</f>
        <v>Si</v>
      </c>
      <c r="F125" s="6" t="str">
        <f>IFERROR(__xludf.DUMMYFUNCTION("""COMPUTED_VALUE"""),"Bogotá (Chia, Cota, Sopó, Cajicá y alrededores)")</f>
        <v>Bogotá (Chia, Cota, Sopó, Cajicá y alrededores)</v>
      </c>
      <c r="G125" s="6" t="str">
        <f>IFERROR(__xludf.DUMMYFUNCTION("""COMPUTED_VALUE"""),"Ingeniería Ambiental")</f>
        <v>Ingeniería Ambiental</v>
      </c>
      <c r="H125" s="6" t="str">
        <f>IFERROR(__xludf.DUMMYFUNCTION("""COMPUTED_VALUE"""),"1 SMMLV")</f>
        <v>1 SMMLV</v>
      </c>
      <c r="I125" s="8">
        <f>IFERROR(__xludf.DUMMYFUNCTION("""COMPUTED_VALUE"""),46286.0)</f>
        <v>46286</v>
      </c>
      <c r="J125" s="8">
        <f>IFERROR(__xludf.DUMMYFUNCTION("""COMPUTED_VALUE"""),46325.0)</f>
        <v>46325</v>
      </c>
      <c r="K125" s="7" t="str">
        <f>IFERROR(__xludf.DUMMYFUNCTION("""COMPUTED_VALUE"""),"gestionambiental@fhsc.org.co")</f>
        <v>gestionambiental@fhsc.org.co</v>
      </c>
      <c r="L125" s="3"/>
      <c r="M125" s="3"/>
      <c r="N125" s="3"/>
      <c r="O125" s="3"/>
      <c r="P125" s="3"/>
      <c r="Q125" s="3"/>
      <c r="R125" s="3"/>
      <c r="S125" s="3"/>
      <c r="T125" s="3"/>
      <c r="U125" s="3"/>
      <c r="V125" s="3"/>
      <c r="W125" s="3"/>
      <c r="X125" s="3"/>
      <c r="Y125" s="3"/>
    </row>
    <row r="126">
      <c r="A126" s="6" t="str">
        <f>IFERROR(__xludf.DUMMYFUNCTION("""COMPUTED_VALUE"""),"METROLOGICAL CENTER S.A.S.")</f>
        <v>METROLOGICAL CENTER S.A.S.</v>
      </c>
      <c r="B126" s="6" t="str">
        <f>IFERROR(__xludf.DUMMYFUNCTION("""COMPUTED_VALUE"""),"Ciclo tecnológico")</f>
        <v>Ciclo tecnológico</v>
      </c>
      <c r="C126" s="6" t="str">
        <f>IFERROR(__xludf.DUMMYFUNCTION("""COMPUTED_VALUE"""),"Tecnología en Gestión Contable, Tecnología en Procesos Químicos Industriales, Tecnología en Mecánica Industrial, Tecnología en Gestión de Procesos Industriales, Tecnología en Electrónica Industrial, Tecnología en Mantenimiento de Equipos Biomédicos")</f>
        <v>Tecnología en Gestión Contable, Tecnología en Procesos Químicos Industriales, Tecnología en Mecánica Industrial, Tecnología en Gestión de Procesos Industriales, Tecnología en Electrónica Industrial, Tecnología en Mantenimiento de Equipos Biomédicos</v>
      </c>
      <c r="D126" s="6" t="str">
        <f>IFERROR(__xludf.DUMMYFUNCTION("""COMPUTED_VALUE"""),"Laboratorio de Calibración, requiere para su equipo de trabajo hombres o mujeres para desempeñar el cargo Asistente Contable, Asistente de Logística y Metrólogo Junior.")</f>
        <v>Laboratorio de Calibración, requiere para su equipo de trabajo hombres o mujeres para desempeñar el cargo Asistente Contable, Asistente de Logística y Metrólogo Junior.</v>
      </c>
      <c r="E126" s="7" t="str">
        <f>IFERROR(__xludf.DUMMYFUNCTION("""COMPUTED_VALUE"""),"Si")</f>
        <v>Si</v>
      </c>
      <c r="F126" s="6" t="str">
        <f>IFERROR(__xludf.DUMMYFUNCTION("""COMPUTED_VALUE"""),"Bogotá (Chia, Cota, Sopó, Cajicá y alrededores)")</f>
        <v>Bogotá (Chia, Cota, Sopó, Cajicá y alrededores)</v>
      </c>
      <c r="G126" s="6" t="str">
        <f>IFERROR(__xludf.DUMMYFUNCTION("""COMPUTED_VALUE"""),"Mercadeo y Publicidad, Contaduría Pública, Administración de Empresas Virtual, Ingeniería Química, Ingeniería Mecatrónica, Ingeniería Mecánica, Ingeniería Industrial, Ingeniería Electrónica, Ingeniería Biomédica")</f>
        <v>Mercadeo y Publicidad, Contaduría Pública, Administración de Empresas Virtual, Ingeniería Química, Ingeniería Mecatrónica, Ingeniería Mecánica, Ingeniería Industrial, Ingeniería Electrónica, Ingeniería Biomédica</v>
      </c>
      <c r="H126" s="6" t="str">
        <f>IFERROR(__xludf.DUMMYFUNCTION("""COMPUTED_VALUE"""),"1 SMMLV")</f>
        <v>1 SMMLV</v>
      </c>
      <c r="I126" s="8">
        <f>IFERROR(__xludf.DUMMYFUNCTION("""COMPUTED_VALUE"""),46282.0)</f>
        <v>46282</v>
      </c>
      <c r="J126" s="8">
        <f>IFERROR(__xludf.DUMMYFUNCTION("""COMPUTED_VALUE"""),46297.0)</f>
        <v>46297</v>
      </c>
      <c r="K126" s="7" t="str">
        <f>IFERROR(__xludf.DUMMYFUNCTION("""COMPUTED_VALUE"""),"calidad@metrologicalcenter.com")</f>
        <v>calidad@metrologicalcenter.com</v>
      </c>
      <c r="L126" s="3"/>
      <c r="M126" s="3"/>
      <c r="N126" s="3"/>
      <c r="O126" s="3"/>
      <c r="P126" s="3"/>
      <c r="Q126" s="3"/>
      <c r="R126" s="3"/>
      <c r="S126" s="3"/>
      <c r="T126" s="3"/>
      <c r="U126" s="3"/>
      <c r="V126" s="3"/>
      <c r="W126" s="3"/>
      <c r="X126" s="3"/>
      <c r="Y126" s="3"/>
    </row>
    <row r="127">
      <c r="A127" s="6" t="str">
        <f>IFERROR(__xludf.DUMMYFUNCTION("""COMPUTED_VALUE"""),"UNIVERSIDAD FUCS")</f>
        <v>UNIVERSIDAD FUCS</v>
      </c>
      <c r="B127" s="6" t="str">
        <f>IFERROR(__xludf.DUMMYFUNCTION("""COMPUTED_VALUE"""),"Ciclo tecnológico")</f>
        <v>Ciclo tecnológico</v>
      </c>
      <c r="C127" s="6" t="str">
        <f>IFERROR(__xludf.DUMMYFUNCTION("""COMPUTED_VALUE"""),"Tecnología en Gestión de Procesos Industriales, Tecnología en Soporte de Telecomunicaciones, Tecnología en Gestión Ambiental")</f>
        <v>Tecnología en Gestión de Procesos Industriales, Tecnología en Soporte de Telecomunicaciones, Tecnología en Gestión Ambiental</v>
      </c>
      <c r="D127" s="6" t="str">
        <f>IFERROR(__xludf.DUMMYFUNCTION("""COMPUTED_VALUE"""),"Estudiante en etapa productiva para apoyar las diferentes actividades que se desarrollan dentro del SG-SST tanto administrativas como operativas. Dentro de las diferentes áreas de intervención que se manejan como medicina laboral higiene y seguridad indus"&amp;"trial. Apoyar actividades transversales con otras dependencias servicios administrativos infraestructura universidad saludable bienestar.")</f>
        <v>Estudiante en etapa productiva para apoyar las diferentes actividades que se desarrollan dentro del SG-SST tanto administrativas como operativas. Dentro de las diferentes áreas de intervención que se manejan como medicina laboral higiene y seguridad industrial. Apoyar actividades transversales con otras dependencias servicios administrativos infraestructura universidad saludable bienestar.</v>
      </c>
      <c r="E127" s="7" t="str">
        <f>IFERROR(__xludf.DUMMYFUNCTION("""COMPUTED_VALUE"""),"Si")</f>
        <v>Si</v>
      </c>
      <c r="F127" s="6" t="str">
        <f>IFERROR(__xludf.DUMMYFUNCTION("""COMPUTED_VALUE"""),"Bogotá (Chia, Cota, Sopó, Cajicá y alrededores)")</f>
        <v>Bogotá (Chia, Cota, Sopó, Cajicá y alrededores)</v>
      </c>
      <c r="G127" s="6" t="str">
        <f>IFERROR(__xludf.DUMMYFUNCTION("""COMPUTED_VALUE"""),"Ingeniería Ambiental")</f>
        <v>Ingeniería Ambiental</v>
      </c>
      <c r="H127" s="6" t="str">
        <f>IFERROR(__xludf.DUMMYFUNCTION("""COMPUTED_VALUE"""),"1 SMMLV")</f>
        <v>1 SMMLV</v>
      </c>
      <c r="I127" s="8">
        <f>IFERROR(__xludf.DUMMYFUNCTION("""COMPUTED_VALUE"""),46283.0)</f>
        <v>46283</v>
      </c>
      <c r="J127" s="8">
        <f>IFERROR(__xludf.DUMMYFUNCTION("""COMPUTED_VALUE"""),46295.0)</f>
        <v>46295</v>
      </c>
      <c r="K127" s="7" t="str">
        <f>IFERROR(__xludf.DUMMYFUNCTION("""COMPUTED_VALUE"""),"desarrollohumano@fucsalud.edu.co")</f>
        <v>desarrollohumano@fucsalud.edu.co</v>
      </c>
      <c r="L127" s="3"/>
      <c r="M127" s="3"/>
      <c r="N127" s="3"/>
      <c r="O127" s="3"/>
      <c r="P127" s="3"/>
      <c r="Q127" s="3"/>
      <c r="R127" s="3"/>
      <c r="S127" s="3"/>
      <c r="T127" s="3"/>
      <c r="U127" s="3"/>
      <c r="V127" s="3"/>
      <c r="W127" s="3"/>
      <c r="X127" s="3"/>
      <c r="Y127" s="3"/>
    </row>
    <row r="128">
      <c r="A128" s="6" t="str">
        <f>IFERROR(__xludf.DUMMYFUNCTION("""COMPUTED_VALUE"""),"MECÁNICOS ASOCIADOS ")</f>
        <v>MECÁNICOS ASOCIADOS </v>
      </c>
      <c r="B128" s="6" t="str">
        <f>IFERROR(__xludf.DUMMYFUNCTION("""COMPUTED_VALUE"""),"Ciclo tecnológico, Ciclo profesional")</f>
        <v>Ciclo tecnológico, Ciclo profesional</v>
      </c>
      <c r="C128" s="6" t="str">
        <f>IFERROR(__xludf.DUMMYFUNCTION("""COMPUTED_VALUE"""),"Tecnología en Gestión Ambiental")</f>
        <v>Tecnología en Gestión Ambiental</v>
      </c>
      <c r="D128" s="6" t="str">
        <f>IFERROR(__xludf.DUMMYFUNCTION("""COMPUTED_VALUE"""),"Empresa Multinacional del sector de hidrocarburos y energía, requiere para su equipo de trabajo hombres y mujeres para desempeñar el cargo de Practicante Universitario para las áreas de Almacén y HSE ")</f>
        <v>Empresa Multinacional del sector de hidrocarburos y energía, requiere para su equipo de trabajo hombres y mujeres para desempeñar el cargo de Practicante Universitario para las áreas de Almacén y HSE </v>
      </c>
      <c r="E128" s="7" t="str">
        <f>IFERROR(__xludf.DUMMYFUNCTION("""COMPUTED_VALUE"""),"Si")</f>
        <v>Si</v>
      </c>
      <c r="F128" s="6" t="str">
        <f>IFERROR(__xludf.DUMMYFUNCTION("""COMPUTED_VALUE"""),"Bogotá (Chia, Cota, Sopó, Cajicá y alrededores)")</f>
        <v>Bogotá (Chia, Cota, Sopó, Cajicá y alrededores)</v>
      </c>
      <c r="G128" s="6" t="str">
        <f>IFERROR(__xludf.DUMMYFUNCTION("""COMPUTED_VALUE"""),"Ingeniería Química, Ingeniería Industrial, Ingeniería Ambiental")</f>
        <v>Ingeniería Química, Ingeniería Industrial, Ingeniería Ambiental</v>
      </c>
      <c r="H128" s="6" t="str">
        <f>IFERROR(__xludf.DUMMYFUNCTION("""COMPUTED_VALUE"""),"1 SMMLV")</f>
        <v>1 SMMLV</v>
      </c>
      <c r="I128" s="8">
        <f>IFERROR(__xludf.DUMMYFUNCTION("""COMPUTED_VALUE"""),46282.0)</f>
        <v>46282</v>
      </c>
      <c r="J128" s="8">
        <f>IFERROR(__xludf.DUMMYFUNCTION("""COMPUTED_VALUE"""),46387.0)</f>
        <v>46387</v>
      </c>
      <c r="K128" s="7" t="str">
        <f>IFERROR(__xludf.DUMMYFUNCTION("""COMPUTED_VALUE"""),"daniela.ramirez@magnexgroup.com")</f>
        <v>daniela.ramirez@magnexgroup.com</v>
      </c>
      <c r="L128" s="3"/>
      <c r="M128" s="3"/>
      <c r="N128" s="3"/>
      <c r="O128" s="3"/>
      <c r="P128" s="3"/>
      <c r="Q128" s="3"/>
      <c r="R128" s="3"/>
      <c r="S128" s="3"/>
      <c r="T128" s="3"/>
      <c r="U128" s="3"/>
      <c r="V128" s="3"/>
      <c r="W128" s="3"/>
      <c r="X128" s="3"/>
      <c r="Y128" s="3"/>
    </row>
    <row r="129">
      <c r="A129" s="6" t="str">
        <f>IFERROR(__xludf.DUMMYFUNCTION("""COMPUTED_VALUE"""),"COLEGIO ANGLO AMERICANO - CORPORACION SAN ISIDRO")</f>
        <v>COLEGIO ANGLO AMERICANO - CORPORACION SAN ISIDRO</v>
      </c>
      <c r="B129" s="6" t="str">
        <f>IFERROR(__xludf.DUMMYFUNCTION("""COMPUTED_VALUE"""),"Ciclo tecnológico")</f>
        <v>Ciclo tecnológico</v>
      </c>
      <c r="C129" s="6" t="str">
        <f>IFERROR(__xludf.DUMMYFUNCTION("""COMPUTED_VALUE"""),"Tecnología en Gestión Gastronómica")</f>
        <v>Tecnología en Gestión Gastronómica</v>
      </c>
      <c r="D129" s="6" t="str">
        <f>IFERROR(__xludf.DUMMYFUNCTION("""COMPUTED_VALUE"""),"Reconocido colegio ubicado al norte de Bogotá requiere Aprendices SENA del programa Técnico en Cocina/Gastronomía, en etapa práctica, interesados en realizar su etapa productiva mediante contrato de aprendizaje y ser patrocinados por la institución.
La c"&amp;"onvocatoria está abierta a estudiantes universitarios, técnicos o tecnólogos que se encuentren en etapa de prácticas y cuenten con el aval de su institución educativa para iniciar su proceso de formación práctica.
Beneficios:
Contrato de aprendizaje con"&amp;" un apoyo de sostenimiento correspondiente al salario mínimo legal vigente, más auxilio de transporte y afiliación a todas las prestaciones sociales.
Alimentación (medias nueves y almuerzo).
Postúlate:
Si cumples con la totalidad del perfil y estás inte"&amp;"resado(a)")</f>
        <v>Reconocido colegio ubicado al norte de Bogotá requiere Aprendices SENA del programa Técnico en Cocina/Gastronomía, en etapa práctica, interesados en realizar su etapa productiva mediante contrato de aprendizaje y ser patrocinados por la institución.
La convocatoria está abierta a estudiantes universitarios, técnicos o tecnólogos que se encuentren en etapa de prácticas y cuenten con el aval de su institución educativa para iniciar su proceso de formación práctica.
Beneficios:
Contrato de aprendizaje con un apoyo de sostenimiento correspondiente al salario mínimo legal vigente, más auxilio de transporte y afiliación a todas las prestaciones sociales.
Alimentación (medias nueves y almuerzo).
Postúlate:
Si cumples con la totalidad del perfil y estás interesado(a)</v>
      </c>
      <c r="E129" s="7" t="str">
        <f>IFERROR(__xludf.DUMMYFUNCTION("""COMPUTED_VALUE"""),"Si")</f>
        <v>Si</v>
      </c>
      <c r="F129" s="6" t="str">
        <f>IFERROR(__xludf.DUMMYFUNCTION("""COMPUTED_VALUE"""),"Bogotá (Chia, Cota, Sopó, Cajicá y alrededores)")</f>
        <v>Bogotá (Chia, Cota, Sopó, Cajicá y alrededores)</v>
      </c>
      <c r="G129" s="6" t="str">
        <f>IFERROR(__xludf.DUMMYFUNCTION("""COMPUTED_VALUE"""),"Gastronomía")</f>
        <v>Gastronomía</v>
      </c>
      <c r="H129" s="6" t="str">
        <f>IFERROR(__xludf.DUMMYFUNCTION("""COMPUTED_VALUE"""),"1 SMMLV")</f>
        <v>1 SMMLV</v>
      </c>
      <c r="I129" s="8">
        <f>IFERROR(__xludf.DUMMYFUNCTION("""COMPUTED_VALUE"""),46283.0)</f>
        <v>46283</v>
      </c>
      <c r="J129" s="8">
        <f>IFERROR(__xludf.DUMMYFUNCTION("""COMPUTED_VALUE"""),46310.0)</f>
        <v>46310</v>
      </c>
      <c r="K129" s="7" t="str">
        <f>IFERROR(__xludf.DUMMYFUNCTION("""COMPUTED_VALUE"""),"recruitment@caa.edu.co")</f>
        <v>recruitment@caa.edu.co</v>
      </c>
      <c r="L129" s="3"/>
      <c r="M129" s="3"/>
      <c r="N129" s="3"/>
      <c r="O129" s="3"/>
      <c r="P129" s="3"/>
      <c r="Q129" s="3"/>
      <c r="R129" s="3"/>
      <c r="S129" s="3"/>
      <c r="T129" s="3"/>
      <c r="U129" s="3"/>
      <c r="V129" s="3"/>
      <c r="W129" s="3"/>
      <c r="X129" s="3"/>
      <c r="Y129" s="3"/>
    </row>
    <row r="130">
      <c r="A130" s="6" t="str">
        <f>IFERROR(__xludf.DUMMYFUNCTION("""COMPUTED_VALUE"""),"INFORMACIÓN DE NEGOCIOS Y PROCESOS INP S.A.S")</f>
        <v>INFORMACIÓN DE NEGOCIOS Y PROCESOS INP S.A.S</v>
      </c>
      <c r="B130" s="6" t="str">
        <f>IFERROR(__xludf.DUMMYFUNCTION("""COMPUTED_VALUE"""),"Ciclo tecnológico")</f>
        <v>Ciclo tecnológico</v>
      </c>
      <c r="C130" s="6" t="str">
        <f>IFERROR(__xludf.DUMMYFUNCTION("""COMPUTED_VALUE"""),"Tecnología en Mercadeo y Diseño Publicitario")</f>
        <v>Tecnología en Mercadeo y Diseño Publicitario</v>
      </c>
      <c r="D130" s="6" t="str">
        <f>IFERROR(__xludf.DUMMYFUNCTION("""COMPUTED_VALUE"""),"Empresa colombiana de tecnología especializada en desarrollo de software y soluciones digitales, requiere para su equipo de trabajo una persona para desempeñarse en el área de Mercadeo Digital. Buscamos una persona comprometida, responsable y orientada al"&amp;" cumplimiento de objetivos, que cuente con la experiencia y conocimientos requeridos para el cargo. La vacante es para trabajar en remota, en el horario 8-5pm de lunes a viernes")</f>
        <v>Empresa colombiana de tecnología especializada en desarrollo de software y soluciones digitales, requiere para su equipo de trabajo una persona para desempeñarse en el área de Mercadeo Digital. Buscamos una persona comprometida, responsable y orientada al cumplimiento de objetivos, que cuente con la experiencia y conocimientos requeridos para el cargo. La vacante es para trabajar en remota, en el horario 8-5pm de lunes a viernes</v>
      </c>
      <c r="E130" s="7" t="str">
        <f>IFERROR(__xludf.DUMMYFUNCTION("""COMPUTED_VALUE"""),"No")</f>
        <v>No</v>
      </c>
      <c r="F130" s="6" t="str">
        <f>IFERROR(__xludf.DUMMYFUNCTION("""COMPUTED_VALUE"""),"Bogotá (Chia, Cota, Sopó, Cajicá y alrededores)")</f>
        <v>Bogotá (Chia, Cota, Sopó, Cajicá y alrededores)</v>
      </c>
      <c r="G130" s="6" t="str">
        <f>IFERROR(__xludf.DUMMYFUNCTION("""COMPUTED_VALUE"""),"Mercadeo y Publicidad")</f>
        <v>Mercadeo y Publicidad</v>
      </c>
      <c r="H130" s="6" t="str">
        <f>IFERROR(__xludf.DUMMYFUNCTION("""COMPUTED_VALUE"""),"De 2 SMMLV a 3 SMMLV")</f>
        <v>De 2 SMMLV a 3 SMMLV</v>
      </c>
      <c r="I130" s="8">
        <f>IFERROR(__xludf.DUMMYFUNCTION("""COMPUTED_VALUE"""),46283.0)</f>
        <v>46283</v>
      </c>
      <c r="J130" s="8">
        <f>IFERROR(__xludf.DUMMYFUNCTION("""COMPUTED_VALUE"""),46387.0)</f>
        <v>46387</v>
      </c>
      <c r="K130" s="7" t="str">
        <f>IFERROR(__xludf.DUMMYFUNCTION("""COMPUTED_VALUE"""),"kellyacevedo@deportevirtual.com")</f>
        <v>kellyacevedo@deportevirtual.com</v>
      </c>
      <c r="L130" s="3"/>
      <c r="M130" s="3"/>
      <c r="N130" s="3"/>
      <c r="O130" s="3"/>
      <c r="P130" s="3"/>
      <c r="Q130" s="3"/>
      <c r="R130" s="3"/>
      <c r="S130" s="3"/>
      <c r="T130" s="3"/>
      <c r="U130" s="3"/>
      <c r="V130" s="3"/>
      <c r="W130" s="3"/>
      <c r="X130" s="3"/>
      <c r="Y130" s="3"/>
    </row>
    <row r="131">
      <c r="A131" s="6" t="str">
        <f>IFERROR(__xludf.DUMMYFUNCTION("""COMPUTED_VALUE"""),"COMPAÑIA COLOMBIANA DE CERAMICA S.A.S - COLCERAMICA S.A.S.")</f>
        <v>COMPAÑIA COLOMBIANA DE CERAMICA S.A.S - COLCERAMICA S.A.S.</v>
      </c>
      <c r="B131" s="6" t="str">
        <f>IFERROR(__xludf.DUMMYFUNCTION("""COMPUTED_VALUE"""),"Ciclo tecnológico, Ciclo profesional")</f>
        <v>Ciclo tecnológico, Ciclo profesional</v>
      </c>
      <c r="C131" s="6" t="str">
        <f>IFERROR(__xludf.DUMMYFUNCTION("""COMPUTED_VALUE"""),"Tecnología en Mercadeo y Diseño Publicitario, Tecnología en Gestión Contable, Tecnología en Automatización y Robótica Industrial, Tecnología en Mecánica Industrial, Tecnología en Gestión de Procesos Industriales, Tecnología en Electrónica Industrial, Tecn"&amp;"ología en Gestión Ambiental")</f>
        <v>Tecnología en Mercadeo y Diseño Publicitario, Tecnología en Gestión Contable, Tecnología en Automatización y Robótica Industrial, Tecnología en Mecánica Industrial, Tecnología en Gestión de Procesos Industriales, Tecnología en Electrónica Industrial, Tecnología en Gestión Ambiental</v>
      </c>
      <c r="D131" s="6" t="str">
        <f>IFERROR(__xludf.DUMMYFUNCTION("""COMPUTED_VALUE"""),"Mentes Estratégicas, en alianza con Corona y Sodimac Homecenter, se encuentra en la búsqueda de aprendices en etapa lectiva o productiva de programas técnicos o tecnológicos. Los seleccionados apoyarán diferentes procesos administrativos, logísticos, come"&amp;"rciales y operativos según el área asignada, fortaleciendo sus conocimientos y competencias mediante su formación práctica. Ofrecemos contrato de aprendizaje bajo la normativa vigente, acompañamiento durante el proceso formativo y oportunidades de desarro"&amp;"llo en compañías líderes del sector. Contamos con vacantes disponibles en Bogotá y diferentes ciudades del país, por lo que la ubicación y el horario de trabajo dependerán de la vacante y la ciudad asignada.")</f>
        <v>Mentes Estratégicas, en alianza con Corona y Sodimac Homecenter, se encuentra en la búsqueda de aprendices en etapa lectiva o productiva de programas técnicos o tecnológicos. Los seleccionados apoyarán diferentes procesos administrativos, logísticos, comerciales y operativos según el área asignada, fortaleciendo sus conocimientos y competencias mediante su formación práctica. Ofrecemos contrato de aprendizaje bajo la normativa vigente, acompañamiento durante el proceso formativo y oportunidades de desarrollo en compañías líderes del sector. Contamos con vacantes disponibles en Bogotá y diferentes ciudades del país, por lo que la ubicación y el horario de trabajo dependerán de la vacante y la ciudad asignada.</v>
      </c>
      <c r="E131" s="7" t="str">
        <f>IFERROR(__xludf.DUMMYFUNCTION("""COMPUTED_VALUE"""),"Si")</f>
        <v>Si</v>
      </c>
      <c r="F131" s="6" t="str">
        <f>IFERROR(__xludf.DUMMYFUNCTION("""COMPUTED_VALUE"""),"Bogotá (Chia, Cota, Sopó, Cajicá y alrededores)")</f>
        <v>Bogotá (Chia, Cota, Sopó, Cajicá y alrededores)</v>
      </c>
      <c r="G131" s="6" t="str">
        <f>IFERROR(__xludf.DUMMYFUNCTION("""COMPUTED_VALUE"""),"Mercadeo y Publicidad, Ingeniería Mecatrónica, Ingeniería Mecánica, Ingeniería Industrial, Ingeniería Electrónica, Ingeniería de Sistemas")</f>
        <v>Mercadeo y Publicidad, Ingeniería Mecatrónica, Ingeniería Mecánica, Ingeniería Industrial, Ingeniería Electrónica, Ingeniería de Sistemas</v>
      </c>
      <c r="H131" s="6" t="str">
        <f>IFERROR(__xludf.DUMMYFUNCTION("""COMPUTED_VALUE"""),"1 SMMLV")</f>
        <v>1 SMMLV</v>
      </c>
      <c r="I131" s="8">
        <f>IFERROR(__xludf.DUMMYFUNCTION("""COMPUTED_VALUE"""),46286.0)</f>
        <v>46286</v>
      </c>
      <c r="J131" s="8">
        <f>IFERROR(__xludf.DUMMYFUNCTION("""COMPUTED_VALUE"""),46346.0)</f>
        <v>46346</v>
      </c>
      <c r="K131" s="7" t="str">
        <f>IFERROR(__xludf.DUMMYFUNCTION("""COMPUTED_VALUE"""),"emescobar@corona.com.co")</f>
        <v>emescobar@corona.com.co</v>
      </c>
      <c r="L131" s="3"/>
      <c r="M131" s="3"/>
      <c r="N131" s="3"/>
      <c r="O131" s="3"/>
      <c r="P131" s="3"/>
      <c r="Q131" s="3"/>
      <c r="R131" s="3"/>
      <c r="S131" s="3"/>
      <c r="T131" s="3"/>
      <c r="U131" s="3"/>
      <c r="V131" s="3"/>
      <c r="W131" s="3"/>
      <c r="X131" s="3"/>
      <c r="Y131" s="3"/>
    </row>
    <row r="132">
      <c r="A132" s="6" t="str">
        <f>IFERROR(__xludf.DUMMYFUNCTION("""COMPUTED_VALUE"""),"FLUXCONTROL SAS")</f>
        <v>FLUXCONTROL SAS</v>
      </c>
      <c r="B132" s="6" t="str">
        <f>IFERROR(__xludf.DUMMYFUNCTION("""COMPUTED_VALUE"""),"Ciclo profesional")</f>
        <v>Ciclo profesional</v>
      </c>
      <c r="C132" s="6" t="str">
        <f>IFERROR(__xludf.DUMMYFUNCTION("""COMPUTED_VALUE"""),"No aplica")</f>
        <v>No aplica</v>
      </c>
      <c r="D132" s="6" t="str">
        <f>IFERROR(__xludf.DUMMYFUNCTION("""COMPUTED_VALUE"""),"Nuestra empresa suministra tecnología y presta servicios técnicos en las áreas de control y automatización industrial enfocado mayormente a los procesos de medición y control de calidad del gas natural")</f>
        <v>Nuestra empresa suministra tecnología y presta servicios técnicos en las áreas de control y automatización industrial enfocado mayormente a los procesos de medición y control de calidad del gas natural</v>
      </c>
      <c r="E132" s="7"/>
      <c r="F132" s="6" t="str">
        <f>IFERROR(__xludf.DUMMYFUNCTION("""COMPUTED_VALUE"""),"Bogotá (Chia, Cota, Sopó, Cajicá y alrededores)")</f>
        <v>Bogotá (Chia, Cota, Sopó, Cajicá y alrededores)</v>
      </c>
      <c r="G132" s="6" t="str">
        <f>IFERROR(__xludf.DUMMYFUNCTION("""COMPUTED_VALUE"""),"Ingeniería Mecatrónica, Ingeniería Electrónica")</f>
        <v>Ingeniería Mecatrónica, Ingeniería Electrónica</v>
      </c>
      <c r="H132" s="6" t="str">
        <f>IFERROR(__xludf.DUMMYFUNCTION("""COMPUTED_VALUE"""),"De 1 SMMLV a 2 SMMLV")</f>
        <v>De 1 SMMLV a 2 SMMLV</v>
      </c>
      <c r="I132" s="8">
        <f>IFERROR(__xludf.DUMMYFUNCTION("""COMPUTED_VALUE"""),46286.0)</f>
        <v>46286</v>
      </c>
      <c r="J132" s="8">
        <f>IFERROR(__xludf.DUMMYFUNCTION("""COMPUTED_VALUE"""),46297.0)</f>
        <v>46297</v>
      </c>
      <c r="K132" s="7" t="str">
        <f>IFERROR(__xludf.DUMMYFUNCTION("""COMPUTED_VALUE"""),"carevalo@fluxcontrol.com.co")</f>
        <v>carevalo@fluxcontrol.com.co</v>
      </c>
      <c r="L132" s="3"/>
      <c r="M132" s="3"/>
      <c r="N132" s="3"/>
      <c r="O132" s="3"/>
      <c r="P132" s="3"/>
      <c r="Q132" s="3"/>
      <c r="R132" s="3"/>
      <c r="S132" s="3"/>
      <c r="T132" s="3"/>
      <c r="U132" s="3"/>
      <c r="V132" s="3"/>
      <c r="W132" s="3"/>
      <c r="X132" s="3"/>
      <c r="Y132" s="3"/>
    </row>
    <row r="133">
      <c r="A133" s="6" t="str">
        <f>IFERROR(__xludf.DUMMYFUNCTION("""COMPUTED_VALUE"""),"ALFRIO")</f>
        <v>ALFRIO</v>
      </c>
      <c r="B133" s="6" t="str">
        <f>IFERROR(__xludf.DUMMYFUNCTION("""COMPUTED_VALUE"""),"Ciclo tecnológico, Ciclo profesional")</f>
        <v>Ciclo tecnológico, Ciclo profesional</v>
      </c>
      <c r="C133" s="6" t="str">
        <f>IFERROR(__xludf.DUMMYFUNCTION("""COMPUTED_VALUE"""),"Tecnología en Mecánica Industrial, Tecnología en Electrónica Industrial")</f>
        <v>Tecnología en Mecánica Industrial, Tecnología en Electrónica Industrial</v>
      </c>
      <c r="D133" s="6" t="str">
        <f>IFERROR(__xludf.DUMMYFUNCTION("""COMPUTED_VALUE"""),"Conocimientos básicos en electricidad industrial, tableros de control y potencia en baja y media tensión, interpretación de planos eléctricos y sistemas de automatización. Conocimientos en sistemas térmicos y refrigeración industrial, especialmente en com"&amp;"presores y equipos de refrigeración. Se valoran la capacidad de análisis, el trabajo en equipo y la disposición para aprender y apoyar actividades de mantenimiento y diagnóstico técnico.")</f>
        <v>Conocimientos básicos en electricidad industrial, tableros de control y potencia en baja y media tensión, interpretación de planos eléctricos y sistemas de automatización. Conocimientos en sistemas térmicos y refrigeración industrial, especialmente en compresores y equipos de refrigeración. Se valoran la capacidad de análisis, el trabajo en equipo y la disposición para aprender y apoyar actividades de mantenimiento y diagnóstico técnico.</v>
      </c>
      <c r="E133" s="7" t="str">
        <f>IFERROR(__xludf.DUMMYFUNCTION("""COMPUTED_VALUE"""),"No")</f>
        <v>No</v>
      </c>
      <c r="F133" s="6" t="str">
        <f>IFERROR(__xludf.DUMMYFUNCTION("""COMPUTED_VALUE"""),"Bogotá (Chia, Cota, Sopó, Cajicá y alrededores)")</f>
        <v>Bogotá (Chia, Cota, Sopó, Cajicá y alrededores)</v>
      </c>
      <c r="G133" s="6" t="str">
        <f>IFERROR(__xludf.DUMMYFUNCTION("""COMPUTED_VALUE"""),"Ingeniería Mecánica, Ingeniería Industrial")</f>
        <v>Ingeniería Mecánica, Ingeniería Industrial</v>
      </c>
      <c r="H133" s="6" t="str">
        <f>IFERROR(__xludf.DUMMYFUNCTION("""COMPUTED_VALUE"""),"1 SMMLV")</f>
        <v>1 SMMLV</v>
      </c>
      <c r="I133" s="8">
        <f>IFERROR(__xludf.DUMMYFUNCTION("""COMPUTED_VALUE"""),46286.0)</f>
        <v>46286</v>
      </c>
      <c r="J133" s="8">
        <f>IFERROR(__xludf.DUMMYFUNCTION("""COMPUTED_VALUE"""),46316.0)</f>
        <v>46316</v>
      </c>
      <c r="K133" s="7" t="str">
        <f>IFERROR(__xludf.DUMMYFUNCTION("""COMPUTED_VALUE"""),"talentohumano@alfrio.com")</f>
        <v>talentohumano@alfrio.com</v>
      </c>
      <c r="L133" s="3"/>
      <c r="M133" s="3"/>
      <c r="N133" s="3"/>
      <c r="O133" s="3"/>
      <c r="P133" s="3"/>
      <c r="Q133" s="3"/>
      <c r="R133" s="3"/>
      <c r="S133" s="3"/>
      <c r="T133" s="3"/>
      <c r="U133" s="3"/>
      <c r="V133" s="3"/>
      <c r="W133" s="3"/>
      <c r="X133" s="3"/>
      <c r="Y133" s="3"/>
    </row>
    <row r="134">
      <c r="A134" s="6" t="str">
        <f>IFERROR(__xludf.DUMMYFUNCTION("""COMPUTED_VALUE"""),"MANUFACTURAS REYMON S.A.")</f>
        <v>MANUFACTURAS REYMON S.A.</v>
      </c>
      <c r="B134" s="6" t="str">
        <f>IFERROR(__xludf.DUMMYFUNCTION("""COMPUTED_VALUE"""),"Ciclo tecnológico, Ciclo profesional")</f>
        <v>Ciclo tecnológico, Ciclo profesional</v>
      </c>
      <c r="C134" s="6" t="str">
        <f>IFERROR(__xludf.DUMMYFUNCTION("""COMPUTED_VALUE"""),"Tecnología en Mercadeo y Diseño Publicitario, Tecnología en Gestión Ambiental")</f>
        <v>Tecnología en Mercadeo y Diseño Publicitario, Tecnología en Gestión Ambiental</v>
      </c>
      <c r="D134" s="6" t="str">
        <f>IFERROR(__xludf.DUMMYFUNCTION("""COMPUTED_VALUE"""),"Desde Manufacturas Reymon S.A. nos dirigimos a ustedes con el fin de abrir espacio a estudiantes o egresados de sus programas académicos para vincularse a nuestro equipo de trabajo en la ciudad de Bogotá.
Actualmente estamos recepcionando perfiles para l"&amp;"as siguientes áreas:
Ingeniería Ambiental (Enfoque en sostenibilidad y procesos industriales).
Diseño de Modas (Enfoque en desarrollo de producto y sector textil).
Mercadeo y Publicidad (Enfoque en estrategia de marca y comunicación).
Ofrecemos un ent"&amp;"orno de aprendizaje práctico en el sector manufacturero, con jornadas de lunes a viernes y vinculación según la modalidad requerida.
Agradecemos su colaboración difundiendo esta oportunidad con sus estudiantes. Los interesados pueden enviar su hoja de vi"&amp;"da a recursoshumanos1@reymon.com.co o comunicarse al 3102607379.
Cordialmente,
Gestión Humana
Manufacturas Reymon S.A.")</f>
        <v>Desde Manufacturas Reymon S.A. nos dirigimos a ustedes con el fin de abrir espacio a estudiantes o egresados de sus programas académicos para vincularse a nuestro equipo de trabajo en la ciudad de Bogotá.
Actualmente estamos recepcionando perfiles para las siguientes áreas:
Ingeniería Ambiental (Enfoque en sostenibilidad y procesos industriales).
Diseño de Modas (Enfoque en desarrollo de producto y sector textil).
Mercadeo y Publicidad (Enfoque en estrategia de marca y comunicación).
Ofrecemos un entorno de aprendizaje práctico en el sector manufacturero, con jornadas de lunes a viernes y vinculación según la modalidad requerida.
Agradecemos su colaboración difundiendo esta oportunidad con sus estudiantes. Los interesados pueden enviar su hoja de vida a recursoshumanos1@reymon.com.co o comunicarse al 3102607379.
Cordialmente,
Gestión Humana
Manufacturas Reymon S.A.</v>
      </c>
      <c r="E134" s="7" t="str">
        <f>IFERROR(__xludf.DUMMYFUNCTION("""COMPUTED_VALUE"""),"Si")</f>
        <v>Si</v>
      </c>
      <c r="F134" s="6" t="str">
        <f>IFERROR(__xludf.DUMMYFUNCTION("""COMPUTED_VALUE"""),"Bogotá (Chia, Cota, Sopó, Cajicá y alrededores)")</f>
        <v>Bogotá (Chia, Cota, Sopó, Cajicá y alrededores)</v>
      </c>
      <c r="G134" s="6" t="str">
        <f>IFERROR(__xludf.DUMMYFUNCTION("""COMPUTED_VALUE"""),"Diseño de Modas, Mercadeo y Publicidad, Ingeniería Ambiental")</f>
        <v>Diseño de Modas, Mercadeo y Publicidad, Ingeniería Ambiental</v>
      </c>
      <c r="H134" s="6" t="str">
        <f>IFERROR(__xludf.DUMMYFUNCTION("""COMPUTED_VALUE"""),"1 SMMLV")</f>
        <v>1 SMMLV</v>
      </c>
      <c r="I134" s="8">
        <f>IFERROR(__xludf.DUMMYFUNCTION("""COMPUTED_VALUE"""),46287.0)</f>
        <v>46287</v>
      </c>
      <c r="J134" s="8">
        <f>IFERROR(__xludf.DUMMYFUNCTION("""COMPUTED_VALUE"""),46295.0)</f>
        <v>46295</v>
      </c>
      <c r="K134" s="7" t="str">
        <f>IFERROR(__xludf.DUMMYFUNCTION("""COMPUTED_VALUE"""),"recursoshumanos1@reymon.com.co")</f>
        <v>recursoshumanos1@reymon.com.co</v>
      </c>
      <c r="L134" s="3"/>
      <c r="M134" s="3"/>
      <c r="N134" s="3"/>
      <c r="O134" s="3"/>
      <c r="P134" s="3"/>
      <c r="Q134" s="3"/>
      <c r="R134" s="3"/>
      <c r="S134" s="3"/>
      <c r="T134" s="3"/>
      <c r="U134" s="3"/>
      <c r="V134" s="3"/>
      <c r="W134" s="3"/>
      <c r="X134" s="3"/>
      <c r="Y134" s="3"/>
    </row>
    <row r="135">
      <c r="A135" s="6" t="str">
        <f>IFERROR(__xludf.DUMMYFUNCTION("""COMPUTED_VALUE"""),"FUNDACIÓN UNIVERSITARIA PARA EL DESAROLLO HUMANO - UNINPAHU")</f>
        <v>FUNDACIÓN UNIVERSITARIA PARA EL DESAROLLO HUMANO - UNINPAHU</v>
      </c>
      <c r="B135" s="6" t="str">
        <f>IFERROR(__xludf.DUMMYFUNCTION("""COMPUTED_VALUE"""),"Ciclo tecnológico, Ciclo profesional")</f>
        <v>Ciclo tecnológico, Ciclo profesional</v>
      </c>
      <c r="C135" s="6" t="str">
        <f>IFERROR(__xludf.DUMMYFUNCTION("""COMPUTED_VALUE"""),"Tecnología en Mercadeo y Diseño Publicitario")</f>
        <v>Tecnología en Mercadeo y Diseño Publicitario</v>
      </c>
      <c r="D135" s="6" t="str">
        <f>IFERROR(__xludf.DUMMYFUNCTION("""COMPUTED_VALUE"""),"La fundación universitaria para el desarrollo humano - UNINPAU,  requiere aprendices en el siguiente programa: Diseño Gráfico, Diseño Digital o Multimedia, Comunicación Visual, Publicidad, Producción Audiovisual o afines. 
Horario de práctica: lunes y de "&amp;"miércoles a viernes 8 am a 5 pm, martes de 8 am a 4 pm y sábados de 8 am a 11am
Clasificación de vinculación: Contrato Laboral Especial a Término Fijo 
Valor de apoyo $ (si aplica) $1.750.905 pesos
Dirección Cra 16 No 39 a 77
La práctica será: (presencial"&amp;")
Funciones:
Piezas para redes sociales y pauta digital
Diseño editorial e institucional
Motion y video corto
Diseño web y landing pages
Organizar y mantener actualizado el banco de recursos gráficos y plantillas del área.
Participar en las reuniones de p"&amp;"laneación de campañas y aportar ideas creativas.")</f>
        <v>La fundación universitaria para el desarrollo humano - UNINPAU,  requiere aprendices en el siguiente programa: Diseño Gráfico, Diseño Digital o Multimedia, Comunicación Visual, Publicidad, Producción Audiovisual o afines. 
Horario de práctica: lunes y de miércoles a viernes 8 am a 5 pm, martes de 8 am a 4 pm y sábados de 8 am a 11am
Clasificación de vinculación: Contrato Laboral Especial a Término Fijo 
Valor de apoyo $ (si aplica) $1.750.905 pesos
Dirección Cra 16 No 39 a 77
La práctica será: (presencial)
Funciones:
Piezas para redes sociales y pauta digital
Diseño editorial e institucional
Motion y video corto
Diseño web y landing pages
Organizar y mantener actualizado el banco de recursos gráficos y plantillas del área.
Participar en las reuniones de planeación de campañas y aportar ideas creativas.</v>
      </c>
      <c r="E135" s="7" t="str">
        <f>IFERROR(__xludf.DUMMYFUNCTION("""COMPUTED_VALUE"""),"Si")</f>
        <v>Si</v>
      </c>
      <c r="F135" s="6" t="str">
        <f>IFERROR(__xludf.DUMMYFUNCTION("""COMPUTED_VALUE"""),"Bogotá (Chia, Cota, Sopó, Cajicá y alrededores)")</f>
        <v>Bogotá (Chia, Cota, Sopó, Cajicá y alrededores)</v>
      </c>
      <c r="G135" s="6" t="str">
        <f>IFERROR(__xludf.DUMMYFUNCTION("""COMPUTED_VALUE"""),"Mercadeo y Publicidad")</f>
        <v>Mercadeo y Publicidad</v>
      </c>
      <c r="H135" s="6" t="str">
        <f>IFERROR(__xludf.DUMMYFUNCTION("""COMPUTED_VALUE"""),"1 SMMLV")</f>
        <v>1 SMMLV</v>
      </c>
      <c r="I135" s="8">
        <f>IFERROR(__xludf.DUMMYFUNCTION("""COMPUTED_VALUE"""),46286.0)</f>
        <v>46286</v>
      </c>
      <c r="J135" s="8">
        <f>IFERROR(__xludf.DUMMYFUNCTION("""COMPUTED_VALUE"""),46316.0)</f>
        <v>46316</v>
      </c>
      <c r="K135" s="7" t="str">
        <f>IFERROR(__xludf.DUMMYFUNCTION("""COMPUTED_VALUE"""),"apoyointegralgh@uninpahu.edu.co")</f>
        <v>apoyointegralgh@uninpahu.edu.co</v>
      </c>
      <c r="L135" s="3"/>
      <c r="M135" s="3"/>
      <c r="N135" s="3"/>
      <c r="O135" s="3"/>
      <c r="P135" s="3"/>
      <c r="Q135" s="3"/>
      <c r="R135" s="3"/>
      <c r="S135" s="3"/>
      <c r="T135" s="3"/>
      <c r="U135" s="3"/>
      <c r="V135" s="3"/>
      <c r="W135" s="3"/>
      <c r="X135" s="3"/>
      <c r="Y135" s="3"/>
    </row>
    <row r="136">
      <c r="A136" s="6" t="str">
        <f>IFERROR(__xludf.DUMMYFUNCTION("""COMPUTED_VALUE"""),"FUNDACIÓN UNIVERSITARIA LOS LIBERTADORES ")</f>
        <v>FUNDACIÓN UNIVERSITARIA LOS LIBERTADORES </v>
      </c>
      <c r="B136" s="6" t="str">
        <f>IFERROR(__xludf.DUMMYFUNCTION("""COMPUTED_VALUE"""),"Ciclo tecnológico, Ciclo profesional")</f>
        <v>Ciclo tecnológico, Ciclo profesional</v>
      </c>
      <c r="C136" s="6" t="str">
        <f>IFERROR(__xludf.DUMMYFUNCTION("""COMPUTED_VALUE"""),"Tecnología en Mercadeo y Diseño Publicitario, Tecnología en Desarrollo Informático")</f>
        <v>Tecnología en Mercadeo y Diseño Publicitario, Tecnología en Desarrollo Informático</v>
      </c>
      <c r="D136" s="6" t="str">
        <f>IFERROR(__xludf.DUMMYFUNCTION("""COMPUTED_VALUE"""),"Requerimos estudiantes de los programas académicos solicitados para apoyar en diferentes áreas de la Institución, según su perfil. Nos gustaria acompañar su proceso académico. ")</f>
        <v>Requerimos estudiantes de los programas académicos solicitados para apoyar en diferentes áreas de la Institución, según su perfil. Nos gustaria acompañar su proceso académico. </v>
      </c>
      <c r="E136" s="7" t="str">
        <f>IFERROR(__xludf.DUMMYFUNCTION("""COMPUTED_VALUE"""),"No")</f>
        <v>No</v>
      </c>
      <c r="F136" s="6" t="str">
        <f>IFERROR(__xludf.DUMMYFUNCTION("""COMPUTED_VALUE"""),"Bogotá (Chia, Cota, Sopó, Cajicá y alrededores)")</f>
        <v>Bogotá (Chia, Cota, Sopó, Cajicá y alrededores)</v>
      </c>
      <c r="G136" s="6" t="str">
        <f>IFERROR(__xludf.DUMMYFUNCTION("""COMPUTED_VALUE"""),"Ingeniería de Sistemas, Estadística")</f>
        <v>Ingeniería de Sistemas, Estadística</v>
      </c>
      <c r="H136" s="6" t="str">
        <f>IFERROR(__xludf.DUMMYFUNCTION("""COMPUTED_VALUE"""),"1 SMMLV")</f>
        <v>1 SMMLV</v>
      </c>
      <c r="I136" s="8">
        <f>IFERROR(__xludf.DUMMYFUNCTION("""COMPUTED_VALUE"""),46288.0)</f>
        <v>46288</v>
      </c>
      <c r="J136" s="8">
        <f>IFERROR(__xludf.DUMMYFUNCTION("""COMPUTED_VALUE"""),46316.0)</f>
        <v>46316</v>
      </c>
      <c r="K136" s="7" t="str">
        <f>IFERROR(__xludf.DUMMYFUNCTION("""COMPUTED_VALUE"""),"maria.jaramillo@libertadores.edu.co")</f>
        <v>maria.jaramillo@libertadores.edu.co</v>
      </c>
      <c r="L136" s="3"/>
      <c r="M136" s="3"/>
      <c r="N136" s="3"/>
      <c r="O136" s="3"/>
      <c r="P136" s="3"/>
      <c r="Q136" s="3"/>
      <c r="R136" s="3"/>
      <c r="S136" s="3"/>
      <c r="T136" s="3"/>
      <c r="U136" s="3"/>
      <c r="V136" s="3"/>
      <c r="W136" s="3"/>
      <c r="X136" s="3"/>
      <c r="Y136" s="3"/>
    </row>
    <row r="137">
      <c r="A137" s="6" t="str">
        <f>IFERROR(__xludf.DUMMYFUNCTION("""COMPUTED_VALUE"""),"TRANSTRONIK SAS ")</f>
        <v>TRANSTRONIK SAS </v>
      </c>
      <c r="B137" s="6" t="str">
        <f>IFERROR(__xludf.DUMMYFUNCTION("""COMPUTED_VALUE"""),"Ciclo tecnológico, Ciclo profesional")</f>
        <v>Ciclo tecnológico, Ciclo profesional</v>
      </c>
      <c r="C137" s="6" t="str">
        <f>IFERROR(__xludf.DUMMYFUNCTION("""COMPUTED_VALUE"""),"No aplica")</f>
        <v>No aplica</v>
      </c>
      <c r="D137" s="6" t="str">
        <f>IFERROR(__xludf.DUMMYFUNCTION("""COMPUTED_VALUE"""),"TRANSTRONIK S.A.S., empresa especializada en el mantenimiento, diagnóstico y remanufactura de componentes electrónicos para vehículos de transporte masivo y maquinaria industrial, requiere para su equipo de trabajo una Asistente Administrativa, dirigida a"&amp;" estudiantes, egresados y profesionales de programas relacionados con Gestión Administrativa, Asistencia Administrativa, Administración de Empresas y carreras afines.
La persona seleccionada apoyará los procesos administrativos, documentales, comerciales"&amp;" y de atención al cliente, realizando gestión y control de documentación, elaboración y actualización de informes, seguimiento de órdenes de compra y órdenes de trabajo, solicitud de cotizaciones, actualización de bases de datos, gestión de archivos y ate"&amp;"nción oportuna de requerimientos de clientes.
Se requiere formación técnica o tecnológica en Gestión Administrativa, Asistencia Administrativa, Administración de Empresas o carreras afines, manejo de herramientas ofimáticas (Excel, Word y Outlook), organ"&amp;"ización documental, manejo de bases de datos, elaboración de informes y buena redacción y comunicación.
Condiciones de la vacante:
Lugar de trabajo: Patio RM – Bogotá D.C.
Modalidad: Presencial.
Tipo de contrato: Término fijo.
Horario: lunes a viernes de"&amp;" 8:00 a.m. a 5:00 p.m. y sábados de 8:00 a.m. a 12:00 p.m.
Salario: Salario Mínimo Legal Vigente + auxilio de transporte + prestaciones sociales de ley.
Se ofrece estabilidad laboral.")</f>
        <v>TRANSTRONIK S.A.S., empresa especializada en el mantenimiento, diagnóstico y remanufactura de componentes electrónicos para vehículos de transporte masivo y maquinaria industrial, requiere para su equipo de trabajo una Asistente Administrativa, dirigida a estudiantes, egresados y profesionales de programas relacionados con Gestión Administrativa, Asistencia Administrativa, Administración de Empresas y carreras afines.
La persona seleccionada apoyará los procesos administrativos, documentales, comerciales y de atención al cliente, realizando gestión y control de documentación, elaboración y actualización de informes, seguimiento de órdenes de compra y órdenes de trabajo, solicitud de cotizaciones, actualización de bases de datos, gestión de archivos y atención oportuna de requerimientos de clientes.
Se requiere formación técnica o tecnológica en Gestión Administrativa, Asistencia Administrativa, Administración de Empresas o carreras afines, manejo de herramientas ofimáticas (Excel, Word y Outlook), organización documental, manejo de bases de datos, elaboración de informes y buena redacción y comunicación.
Condiciones de la vacante:
Lugar de trabajo: Patio RM – Bogotá D.C.
Modalidad: Presencial.
Tipo de contrato: Término fijo.
Horario: lunes a viernes de 8:00 a.m. a 5:00 p.m. y sábados de 8:00 a.m. a 12:00 p.m.
Salario: Salario Mínimo Legal Vigente + auxilio de transporte + prestaciones sociales de ley.
Se ofrece estabilidad laboral.</v>
      </c>
      <c r="E137" s="7" t="str">
        <f>IFERROR(__xludf.DUMMYFUNCTION("""COMPUTED_VALUE"""),"No")</f>
        <v>No</v>
      </c>
      <c r="F137" s="6" t="str">
        <f>IFERROR(__xludf.DUMMYFUNCTION("""COMPUTED_VALUE"""),"Bogotá (Chia, Cota, Sopó, Cajicá y alrededores)")</f>
        <v>Bogotá (Chia, Cota, Sopó, Cajicá y alrededores)</v>
      </c>
      <c r="G137" s="6" t="str">
        <f>IFERROR(__xludf.DUMMYFUNCTION("""COMPUTED_VALUE"""),"Administración de Empresas Virtual")</f>
        <v>Administración de Empresas Virtual</v>
      </c>
      <c r="H137" s="6" t="str">
        <f>IFERROR(__xludf.DUMMYFUNCTION("""COMPUTED_VALUE"""),"1 SMMLV")</f>
        <v>1 SMMLV</v>
      </c>
      <c r="I137" s="8">
        <f>IFERROR(__xludf.DUMMYFUNCTION("""COMPUTED_VALUE"""),46287.0)</f>
        <v>46287</v>
      </c>
      <c r="J137" s="8">
        <f>IFERROR(__xludf.DUMMYFUNCTION("""COMPUTED_VALUE"""),46326.0)</f>
        <v>46326</v>
      </c>
      <c r="K137" s="7" t="str">
        <f>IFERROR(__xludf.DUMMYFUNCTION("""COMPUTED_VALUE"""),"talentohumanottsas@gmail.com")</f>
        <v>talentohumanottsas@gmail.com</v>
      </c>
      <c r="L137" s="3"/>
      <c r="M137" s="3"/>
      <c r="N137" s="3"/>
      <c r="O137" s="3"/>
      <c r="P137" s="3"/>
      <c r="Q137" s="3"/>
      <c r="R137" s="3"/>
      <c r="S137" s="3"/>
      <c r="T137" s="3"/>
      <c r="U137" s="3"/>
      <c r="V137" s="3"/>
      <c r="W137" s="3"/>
      <c r="X137" s="3"/>
      <c r="Y137" s="3"/>
    </row>
    <row r="138">
      <c r="A138" s="6" t="str">
        <f>IFERROR(__xludf.DUMMYFUNCTION("""COMPUTED_VALUE"""),"RCN TELEVIISÓN S.A ")</f>
        <v>RCN TELEVIISÓN S.A </v>
      </c>
      <c r="B138" s="6" t="str">
        <f>IFERROR(__xludf.DUMMYFUNCTION("""COMPUTED_VALUE"""),"Ciclo profesional")</f>
        <v>Ciclo profesional</v>
      </c>
      <c r="C138" s="6" t="str">
        <f>IFERROR(__xludf.DUMMYFUNCTION("""COMPUTED_VALUE"""),"No aplica")</f>
        <v>No aplica</v>
      </c>
      <c r="D138" s="6" t="str">
        <f>IFERROR(__xludf.DUMMYFUNCTION("""COMPUTED_VALUE"""),"Apoyar al área de Ingeniería en la instalación, mantenimiento, monitoreo y verificación de equipos, sistemas y software audiovisuales; brindar soporte técnico básico, realizar pruebas e implementación de herramientas tecnológicas, gestionar reportes e inc"&amp;"idencias y actualizar documentación técnica, contribuyendo a la continuidad, seguridad y eficiencia de las operaciones.")</f>
        <v>Apoyar al área de Ingeniería en la instalación, mantenimiento, monitoreo y verificación de equipos, sistemas y software audiovisuales; brindar soporte técnico básico, realizar pruebas e implementación de herramientas tecnológicas, gestionar reportes e incidencias y actualizar documentación técnica, contribuyendo a la continuidad, seguridad y eficiencia de las operaciones.</v>
      </c>
      <c r="E138" s="7" t="str">
        <f>IFERROR(__xludf.DUMMYFUNCTION("""COMPUTED_VALUE"""),"Si")</f>
        <v>Si</v>
      </c>
      <c r="F138" s="6" t="str">
        <f>IFERROR(__xludf.DUMMYFUNCTION("""COMPUTED_VALUE"""),"Bogotá (Chia, Cota, Sopó, Cajicá y alrededores)")</f>
        <v>Bogotá (Chia, Cota, Sopó, Cajicá y alrededores)</v>
      </c>
      <c r="G138" s="6" t="str">
        <f>IFERROR(__xludf.DUMMYFUNCTION("""COMPUTED_VALUE"""),"Ingeniería Electrónica")</f>
        <v>Ingeniería Electrónica</v>
      </c>
      <c r="H138" s="6" t="str">
        <f>IFERROR(__xludf.DUMMYFUNCTION("""COMPUTED_VALUE"""),"1 SMMLV")</f>
        <v>1 SMMLV</v>
      </c>
      <c r="I138" s="8">
        <f>IFERROR(__xludf.DUMMYFUNCTION("""COMPUTED_VALUE"""),46286.0)</f>
        <v>46286</v>
      </c>
      <c r="J138" s="8">
        <f>IFERROR(__xludf.DUMMYFUNCTION("""COMPUTED_VALUE"""),46295.0)</f>
        <v>46295</v>
      </c>
      <c r="K138" s="7" t="str">
        <f>IFERROR(__xludf.DUMMYFUNCTION("""COMPUTED_VALUE"""),"jcastroo@rcntv.com")</f>
        <v>jcastroo@rcntv.com</v>
      </c>
      <c r="L138" s="3"/>
      <c r="M138" s="3"/>
      <c r="N138" s="3"/>
      <c r="O138" s="3"/>
      <c r="P138" s="3"/>
      <c r="Q138" s="3"/>
      <c r="R138" s="3"/>
      <c r="S138" s="3"/>
      <c r="T138" s="3"/>
      <c r="U138" s="3"/>
      <c r="V138" s="3"/>
      <c r="W138" s="3"/>
      <c r="X138" s="3"/>
      <c r="Y138" s="3"/>
    </row>
    <row r="139">
      <c r="A139" s="6" t="str">
        <f>IFERROR(__xludf.DUMMYFUNCTION("""COMPUTED_VALUE"""),"CAMARA COLOMBIANA DE LA CONSTRUCCIÓN ")</f>
        <v>CAMARA COLOMBIANA DE LA CONSTRUCCIÓN </v>
      </c>
      <c r="B139" s="6" t="str">
        <f>IFERROR(__xludf.DUMMYFUNCTION("""COMPUTED_VALUE"""),"Ciclo profesional")</f>
        <v>Ciclo profesional</v>
      </c>
      <c r="C139" s="6" t="str">
        <f>IFERROR(__xludf.DUMMYFUNCTION("""COMPUTED_VALUE"""),"No aplica")</f>
        <v>No aplica</v>
      </c>
      <c r="D139" s="6" t="str">
        <f>IFERROR(__xludf.DUMMYFUNCTION("""COMPUTED_VALUE"""),"Agremiación de la construcción requiere estudiantes de últimos semestres de carreras universitarias que cumplan con los requisitos necesarios para realizar su práctica profesional.
Ofrecemos acompañamiento permanente, modalidad híbrida, horario flexible "&amp;"de lunes a viernes de 8:00 a.m. a 5:30 p.m., espacios de bienestar y la oportunidad de fortalecer conocimientos y adquirir experiencia en un entorno profesional.")</f>
        <v>Agremiación de la construcción requiere estudiantes de últimos semestres de carreras universitarias que cumplan con los requisitos necesarios para realizar su práctica profesional.
Ofrecemos acompañamiento permanente, modalidad híbrida, horario flexible de lunes a viernes de 8:00 a.m. a 5:30 p.m., espacios de bienestar y la oportunidad de fortalecer conocimientos y adquirir experiencia en un entorno profesional.</v>
      </c>
      <c r="E139" s="7" t="str">
        <f>IFERROR(__xludf.DUMMYFUNCTION("""COMPUTED_VALUE"""),"Si")</f>
        <v>Si</v>
      </c>
      <c r="F139" s="6" t="str">
        <f>IFERROR(__xludf.DUMMYFUNCTION("""COMPUTED_VALUE"""),"Bogotá (Chia, Cota, Sopó, Cajicá y alrededores)")</f>
        <v>Bogotá (Chia, Cota, Sopó, Cajicá y alrededores)</v>
      </c>
      <c r="G139" s="6" t="str">
        <f>IFERROR(__xludf.DUMMYFUNCTION("""COMPUTED_VALUE"""),"Mercadeo y Publicidad, Derecho, Ingeniería Industrial, Ingeniería de Sistemas, Ingeniería Ambiental")</f>
        <v>Mercadeo y Publicidad, Derecho, Ingeniería Industrial, Ingeniería de Sistemas, Ingeniería Ambiental</v>
      </c>
      <c r="H139" s="6" t="str">
        <f>IFERROR(__xludf.DUMMYFUNCTION("""COMPUTED_VALUE"""),"De 1 SMMLV a 2 SMMLV")</f>
        <v>De 1 SMMLV a 2 SMMLV</v>
      </c>
      <c r="I139" s="8">
        <f>IFERROR(__xludf.DUMMYFUNCTION("""COMPUTED_VALUE"""),46296.0)</f>
        <v>46296</v>
      </c>
      <c r="J139" s="8">
        <f>IFERROR(__xludf.DUMMYFUNCTION("""COMPUTED_VALUE"""),46356.0)</f>
        <v>46356</v>
      </c>
      <c r="K139" s="7" t="str">
        <f>IFERROR(__xludf.DUMMYFUNCTION("""COMPUTED_VALUE"""),"dbeltran@camacol.org.co")</f>
        <v>dbeltran@camacol.org.co</v>
      </c>
      <c r="L139" s="3"/>
      <c r="M139" s="3"/>
      <c r="N139" s="3"/>
      <c r="O139" s="3"/>
      <c r="P139" s="3"/>
      <c r="Q139" s="3"/>
      <c r="R139" s="3"/>
      <c r="S139" s="3"/>
      <c r="T139" s="3"/>
      <c r="U139" s="3"/>
      <c r="V139" s="3"/>
      <c r="W139" s="3"/>
      <c r="X139" s="3"/>
      <c r="Y139" s="3"/>
    </row>
    <row r="140">
      <c r="A140" s="6" t="str">
        <f>IFERROR(__xludf.DUMMYFUNCTION("""COMPUTED_VALUE"""),"CAMELECO SAS")</f>
        <v>CAMELECO SAS</v>
      </c>
      <c r="B140" s="6" t="str">
        <f>IFERROR(__xludf.DUMMYFUNCTION("""COMPUTED_VALUE"""),"Ciclo profesional")</f>
        <v>Ciclo profesional</v>
      </c>
      <c r="C140" s="6" t="str">
        <f>IFERROR(__xludf.DUMMYFUNCTION("""COMPUTED_VALUE"""),"No aplica")</f>
        <v>No aplica</v>
      </c>
      <c r="D140" s="6" t="str">
        <f>IFERROR(__xludf.DUMMYFUNCTION("""COMPUTED_VALUE"""),"Estudiante de Ingeniería de Sistemas próximo a iniciar sus prácticas profesionales. ")</f>
        <v>Estudiante de Ingeniería de Sistemas próximo a iniciar sus prácticas profesionales. </v>
      </c>
      <c r="E140" s="7" t="str">
        <f>IFERROR(__xludf.DUMMYFUNCTION("""COMPUTED_VALUE"""),"No")</f>
        <v>No</v>
      </c>
      <c r="F140" s="6" t="str">
        <f>IFERROR(__xludf.DUMMYFUNCTION("""COMPUTED_VALUE"""),"Bogotá (Chia, Cota, Sopó, Cajicá y alrededores)")</f>
        <v>Bogotá (Chia, Cota, Sopó, Cajicá y alrededores)</v>
      </c>
      <c r="G140" s="6" t="str">
        <f>IFERROR(__xludf.DUMMYFUNCTION("""COMPUTED_VALUE"""),"Ingeniería de Sistemas")</f>
        <v>Ingeniería de Sistemas</v>
      </c>
      <c r="H140" s="6" t="str">
        <f>IFERROR(__xludf.DUMMYFUNCTION("""COMPUTED_VALUE"""),"1 SMMLV")</f>
        <v>1 SMMLV</v>
      </c>
      <c r="I140" s="8">
        <f>IFERROR(__xludf.DUMMYFUNCTION("""COMPUTED_VALUE"""),46287.0)</f>
        <v>46287</v>
      </c>
      <c r="J140" s="8">
        <f>IFERROR(__xludf.DUMMYFUNCTION("""COMPUTED_VALUE"""),46315.0)</f>
        <v>46315</v>
      </c>
      <c r="K140" s="7" t="str">
        <f>IFERROR(__xludf.DUMMYFUNCTION("""COMPUTED_VALUE"""),"talentohumano@cameleco.com")</f>
        <v>talentohumano@cameleco.com</v>
      </c>
      <c r="L140" s="3"/>
      <c r="M140" s="3"/>
      <c r="N140" s="3"/>
      <c r="O140" s="3"/>
      <c r="P140" s="3"/>
      <c r="Q140" s="3"/>
      <c r="R140" s="3"/>
      <c r="S140" s="3"/>
      <c r="T140" s="3"/>
      <c r="U140" s="3"/>
      <c r="V140" s="3"/>
      <c r="W140" s="3"/>
      <c r="X140" s="3"/>
      <c r="Y140" s="3"/>
    </row>
    <row r="141">
      <c r="A141" s="6" t="str">
        <f>IFERROR(__xludf.DUMMYFUNCTION("""COMPUTED_VALUE"""),"ALIANZA MOTOR")</f>
        <v>ALIANZA MOTOR</v>
      </c>
      <c r="B141" s="6" t="str">
        <f>IFERROR(__xludf.DUMMYFUNCTION("""COMPUTED_VALUE"""),"Ciclo tecnológico")</f>
        <v>Ciclo tecnológico</v>
      </c>
      <c r="C141" s="6" t="str">
        <f>IFERROR(__xludf.DUMMYFUNCTION("""COMPUTED_VALUE"""),"Tecnología en Mercadeo y Diseño Publicitario")</f>
        <v>Tecnología en Mercadeo y Diseño Publicitario</v>
      </c>
      <c r="D141" s="6" t="str">
        <f>IFERROR(__xludf.DUMMYFUNCTION("""COMPUTED_VALUE"""),"IMPORTANTE CONCESIONARIO DE LA MARCA RENAULT REQUIERE PRACTICANTE PARA EL AREA DE MERCADEO")</f>
        <v>IMPORTANTE CONCESIONARIO DE LA MARCA RENAULT REQUIERE PRACTICANTE PARA EL AREA DE MERCADEO</v>
      </c>
      <c r="E141" s="7" t="str">
        <f>IFERROR(__xludf.DUMMYFUNCTION("""COMPUTED_VALUE"""),"Si")</f>
        <v>Si</v>
      </c>
      <c r="F141" s="6" t="str">
        <f>IFERROR(__xludf.DUMMYFUNCTION("""COMPUTED_VALUE"""),"Bogotá (Chia, Cota, Sopó, Cajicá y alrededores)")</f>
        <v>Bogotá (Chia, Cota, Sopó, Cajicá y alrededores)</v>
      </c>
      <c r="G141" s="6" t="str">
        <f>IFERROR(__xludf.DUMMYFUNCTION("""COMPUTED_VALUE"""),"Mercadeo y Publicidad")</f>
        <v>Mercadeo y Publicidad</v>
      </c>
      <c r="H141" s="6" t="str">
        <f>IFERROR(__xludf.DUMMYFUNCTION("""COMPUTED_VALUE"""),"1 SMMLV")</f>
        <v>1 SMMLV</v>
      </c>
      <c r="I141" s="8">
        <f>IFERROR(__xludf.DUMMYFUNCTION("""COMPUTED_VALUE"""),46287.0)</f>
        <v>46287</v>
      </c>
      <c r="J141" s="8">
        <f>IFERROR(__xludf.DUMMYFUNCTION("""COMPUTED_VALUE"""),46326.0)</f>
        <v>46326</v>
      </c>
      <c r="K141" s="7" t="str">
        <f>IFERROR(__xludf.DUMMYFUNCTION("""COMPUTED_VALUE"""),"dgutierrez@alianzamotor.com")</f>
        <v>dgutierrez@alianzamotor.com</v>
      </c>
      <c r="L141" s="3"/>
      <c r="M141" s="3"/>
      <c r="N141" s="3"/>
      <c r="O141" s="3"/>
      <c r="P141" s="3"/>
      <c r="Q141" s="3"/>
      <c r="R141" s="3"/>
      <c r="S141" s="3"/>
      <c r="T141" s="3"/>
      <c r="U141" s="3"/>
      <c r="V141" s="3"/>
      <c r="W141" s="3"/>
      <c r="X141" s="3"/>
      <c r="Y141" s="3"/>
    </row>
    <row r="142">
      <c r="A142" s="6" t="str">
        <f>IFERROR(__xludf.DUMMYFUNCTION("""COMPUTED_VALUE"""),"MEXICHEM COLOMBIA S.A.S")</f>
        <v>MEXICHEM COLOMBIA S.A.S</v>
      </c>
      <c r="B142" s="6" t="str">
        <f>IFERROR(__xludf.DUMMYFUNCTION("""COMPUTED_VALUE"""),"Ciclo tecnológico, Ciclo profesional")</f>
        <v>Ciclo tecnológico, Ciclo profesional</v>
      </c>
      <c r="C142" s="6" t="str">
        <f>IFERROR(__xludf.DUMMYFUNCTION("""COMPUTED_VALUE"""),"Tecnología en Gestión Contable, Tecnología en Automatización y Robótica Industrial, Tecnología en Mecánica Industrial, Tecnología en Gestión de Procesos Industriales, Tecnología en Electrónica Industrial, Tecnología en Desarrollo Informático")</f>
        <v>Tecnología en Gestión Contable, Tecnología en Automatización y Robótica Industrial, Tecnología en Mecánica Industrial, Tecnología en Gestión de Procesos Industriales, Tecnología en Electrónica Industrial, Tecnología en Desarrollo Informático</v>
      </c>
      <c r="D142" s="6" t="str">
        <f>IFERROR(__xludf.DUMMYFUNCTION("""COMPUTED_VALUE"""),"¿Estás buscando un lugar donde puedas realizar tus prácticas, aprender de verdad y crecer en un ambiente retador y lleno de oportunidades? Estamos buscando aprendices con carreras Técnicas, Tecnólogas y profesionales ")</f>
        <v>¿Estás buscando un lugar donde puedas realizar tus prácticas, aprender de verdad y crecer en un ambiente retador y lleno de oportunidades? Estamos buscando aprendices con carreras Técnicas, Tecnólogas y profesionales </v>
      </c>
      <c r="E142" s="7" t="str">
        <f>IFERROR(__xludf.DUMMYFUNCTION("""COMPUTED_VALUE"""),"Si")</f>
        <v>Si</v>
      </c>
      <c r="F142" s="6" t="str">
        <f>IFERROR(__xludf.DUMMYFUNCTION("""COMPUTED_VALUE"""),"Bogotá (Chia, Cota, Sopó, Cajicá y alrededores)")</f>
        <v>Bogotá (Chia, Cota, Sopó, Cajicá y alrededores)</v>
      </c>
      <c r="G142" s="6" t="str">
        <f>IFERROR(__xludf.DUMMYFUNCTION("""COMPUTED_VALUE"""),"Contaduría Pública, Ingeniería Química")</f>
        <v>Contaduría Pública, Ingeniería Química</v>
      </c>
      <c r="H142" s="6" t="str">
        <f>IFERROR(__xludf.DUMMYFUNCTION("""COMPUTED_VALUE"""),"1 SMMLV")</f>
        <v>1 SMMLV</v>
      </c>
      <c r="I142" s="8">
        <f>IFERROR(__xludf.DUMMYFUNCTION("""COMPUTED_VALUE"""),46287.0)</f>
        <v>46287</v>
      </c>
      <c r="J142" s="8">
        <f>IFERROR(__xludf.DUMMYFUNCTION("""COMPUTED_VALUE"""),46300.0)</f>
        <v>46300</v>
      </c>
      <c r="K142" s="7" t="str">
        <f>IFERROR(__xludf.DUMMYFUNCTION("""COMPUTED_VALUE"""),"luisa.fernanda.aya.ext@orbia.com")</f>
        <v>luisa.fernanda.aya.ext@orbia.com</v>
      </c>
      <c r="L142" s="3"/>
      <c r="M142" s="3"/>
      <c r="N142" s="3"/>
      <c r="O142" s="3"/>
      <c r="P142" s="3"/>
      <c r="Q142" s="3"/>
      <c r="R142" s="3"/>
      <c r="S142" s="3"/>
      <c r="T142" s="3"/>
      <c r="U142" s="3"/>
      <c r="V142" s="3"/>
      <c r="W142" s="3"/>
      <c r="X142" s="3"/>
      <c r="Y142" s="3"/>
    </row>
    <row r="143">
      <c r="A143" s="6" t="str">
        <f>IFERROR(__xludf.DUMMYFUNCTION("""COMPUTED_VALUE"""),"COMERCIALIZADORA CALYPSO SAS ")</f>
        <v>COMERCIALIZADORA CALYPSO SAS </v>
      </c>
      <c r="B143" s="6" t="str">
        <f>IFERROR(__xludf.DUMMYFUNCTION("""COMPUTED_VALUE"""),"Ciclo profesional")</f>
        <v>Ciclo profesional</v>
      </c>
      <c r="C143" s="6" t="str">
        <f>IFERROR(__xludf.DUMMYFUNCTION("""COMPUTED_VALUE"""),"Tecnología en Gestión Ambiental")</f>
        <v>Tecnología en Gestión Ambiental</v>
      </c>
      <c r="D143" s="6" t="str">
        <f>IFERROR(__xludf.DUMMYFUNCTION("""COMPUTED_VALUE"""),"Una multinacional con presencia en Colombia está en búsqueda de un/a aprendiz universitario/a para realizar su práctica profesional en el área de Gestión Humana.")</f>
        <v>Una multinacional con presencia en Colombia está en búsqueda de un/a aprendiz universitario/a para realizar su práctica profesional en el área de Gestión Humana.</v>
      </c>
      <c r="E143" s="7" t="str">
        <f>IFERROR(__xludf.DUMMYFUNCTION("""COMPUTED_VALUE"""),"Si")</f>
        <v>Si</v>
      </c>
      <c r="F143" s="6" t="str">
        <f>IFERROR(__xludf.DUMMYFUNCTION("""COMPUTED_VALUE"""),"Bogotá (Chia, Cota, Sopó, Cajicá y alrededores)")</f>
        <v>Bogotá (Chia, Cota, Sopó, Cajicá y alrededores)</v>
      </c>
      <c r="G143" s="6" t="str">
        <f>IFERROR(__xludf.DUMMYFUNCTION("""COMPUTED_VALUE"""),"Ingeniería Ambiental")</f>
        <v>Ingeniería Ambiental</v>
      </c>
      <c r="H143" s="6" t="str">
        <f>IFERROR(__xludf.DUMMYFUNCTION("""COMPUTED_VALUE"""),"1 SMMLV")</f>
        <v>1 SMMLV</v>
      </c>
      <c r="I143" s="8">
        <f>IFERROR(__xludf.DUMMYFUNCTION("""COMPUTED_VALUE"""),46289.0)</f>
        <v>46289</v>
      </c>
      <c r="J143" s="8">
        <f>IFERROR(__xludf.DUMMYFUNCTION("""COMPUTED_VALUE"""),46297.0)</f>
        <v>46297</v>
      </c>
      <c r="K143" s="7" t="str">
        <f>IFERROR(__xludf.DUMMYFUNCTION("""COMPUTED_VALUE"""),"recursos.humanos.ccs@spradling.group")</f>
        <v>recursos.humanos.ccs@spradling.group</v>
      </c>
      <c r="L143" s="3"/>
      <c r="M143" s="3"/>
      <c r="N143" s="3"/>
      <c r="O143" s="3"/>
      <c r="P143" s="3"/>
      <c r="Q143" s="3"/>
      <c r="R143" s="3"/>
      <c r="S143" s="3"/>
      <c r="T143" s="3"/>
      <c r="U143" s="3"/>
      <c r="V143" s="3"/>
      <c r="W143" s="3"/>
      <c r="X143" s="3"/>
      <c r="Y143" s="3"/>
    </row>
    <row r="144">
      <c r="A144" s="6" t="str">
        <f>IFERROR(__xludf.DUMMYFUNCTION("""COMPUTED_VALUE"""),"ALIMENTOS CARNICOS S.A.S.")</f>
        <v>ALIMENTOS CARNICOS S.A.S.</v>
      </c>
      <c r="B144" s="6" t="str">
        <f>IFERROR(__xludf.DUMMYFUNCTION("""COMPUTED_VALUE"""),"Ciclo tecnológico")</f>
        <v>Ciclo tecnológico</v>
      </c>
      <c r="C144" s="6" t="str">
        <f>IFERROR(__xludf.DUMMYFUNCTION("""COMPUTED_VALUE"""),"Tecnología en Procesos Químicos Industriales, Tecnología en Gestión de Procesos Industriales, Tecnología en Electrónica Industrial, Tecnología en Gestión Ambiental")</f>
        <v>Tecnología en Procesos Químicos Industriales, Tecnología en Gestión de Procesos Industriales, Tecnología en Electrónica Industrial, Tecnología en Gestión Ambiental</v>
      </c>
      <c r="D144" s="6" t="str">
        <f>IFERROR(__xludf.DUMMYFUNCTION("""COMPUTED_VALUE"""),"Desde Alimentos Cárnicos del Grupo Nutresa nos encontramos en la búsqueda de estudiantes de las siguientes carreras, que se encuentren habilitados para iniciar su etapa práctica, con el fin de vincularse a nuestro equipo de trabajo y fortalecer su proceso"&amp;" formativo en un entorno organizacional dinámico y de aprendizaje continuo.
Tecnología en gestión, mercadeo y ventas.
A continuación, compartimos la información general:
✨ Condiciones de la práctica:
Apoyo económico equivalente a 1 SMLMV completo.
Afi"&amp;"liación a ARL, EPS y prestaciones sociales.
🎁 Beneficios:
Alimentación (almuerzo completo diario).
Acceso a cafetín con bebidas calientes disponibles durante toda la jornada ☕
Plataforma de descuentos en diferentes marcas y restaurantes.
Acuerdo de cali"&amp;"dad de vida: Beneficios internos de la empresa (auxilios para deporte, educación, salud y familia).
Excelente ambiente laboral, acompañamiento constante y aprendizaje significativo.
🕒 Condiciones laborales:
Horario: lunes a jueves de 7:00 a.m. a 4:30 p."&amp;"m. y viernes de 7:00 a.m. a 4:00 p.m.
Modalidad: presencial
Ubicación: Medellín.
No se labora fines de semana ni festivos.
Flexibilidad para continuar con sus estudios en caso de tener materias pendientes.
Agradecemos su apoyo en la difusión de esta oport"&amp;"unidad entre sus estudiantes. Quedamos atentos a sus comentarios o a la remisión de hojas de vida de candidatos interesados.
")</f>
        <v>Desde Alimentos Cárnicos del Grupo Nutresa nos encontramos en la búsqueda de estudiantes de las siguientes carreras, que se encuentren habilitados para iniciar su etapa práctica, con el fin de vincularse a nuestro equipo de trabajo y fortalecer su proceso formativo en un entorno organizacional dinámico y de aprendizaje continuo.
Tecnología en gestión, mercadeo y ventas.
A continuación, compartimos la información general:
✨ Condiciones de la práctica:
Apoyo económico equivalente a 1 SMLMV completo.
Afiliación a ARL, EPS y prestaciones sociales.
🎁 Beneficios:
Alimentación (almuerzo completo diario).
Acceso a cafetín con bebidas calientes disponibles durante toda la jornada ☕
Plataforma de descuentos en diferentes marcas y restaurantes.
Acuerdo de calidad de vida: Beneficios internos de la empresa (auxilios para deporte, educación, salud y familia).
Excelente ambiente laboral, acompañamiento constante y aprendizaje significativo.
🕒 Condiciones laborales:
Horario: lunes a jueves de 7:00 a.m. a 4:30 p.m. y viernes de 7:00 a.m. a 4:00 p.m.
Modalidad: presencial
Ubicación: Medellín.
No se labora fines de semana ni festivos.
Flexibilidad para continuar con sus estudios en caso de tener materias pendientes.
Agradecemos su apoyo en la difusión de esta oportunidad entre sus estudiantes. Quedamos atentos a sus comentarios o a la remisión de hojas de vida de candidatos interesados.
</v>
      </c>
      <c r="E144" s="7" t="str">
        <f>IFERROR(__xludf.DUMMYFUNCTION("""COMPUTED_VALUE"""),"Si")</f>
        <v>Si</v>
      </c>
      <c r="F144" s="6" t="str">
        <f>IFERROR(__xludf.DUMMYFUNCTION("""COMPUTED_VALUE"""),"Medellín")</f>
        <v>Medellín</v>
      </c>
      <c r="G144" s="6" t="str">
        <f>IFERROR(__xludf.DUMMYFUNCTION("""COMPUTED_VALUE"""),"Mercadeo y Publicidad, Comercio Internacional, Administración de Empresas Virtual, Ingeniería Industrial, Ingeniería Ambiental, Estadística")</f>
        <v>Mercadeo y Publicidad, Comercio Internacional, Administración de Empresas Virtual, Ingeniería Industrial, Ingeniería Ambiental, Estadística</v>
      </c>
      <c r="H144" s="6" t="str">
        <f>IFERROR(__xludf.DUMMYFUNCTION("""COMPUTED_VALUE"""),"1 SMMLV")</f>
        <v>1 SMMLV</v>
      </c>
      <c r="I144" s="8">
        <f>IFERROR(__xludf.DUMMYFUNCTION("""COMPUTED_VALUE"""),46287.0)</f>
        <v>46287</v>
      </c>
      <c r="J144" s="8">
        <f>IFERROR(__xludf.DUMMYFUNCTION("""COMPUTED_VALUE"""),46376.0)</f>
        <v>46376</v>
      </c>
      <c r="K144" s="7" t="str">
        <f>IFERROR(__xludf.DUMMYFUNCTION("""COMPUTED_VALUE"""),"daramirez.nases@nutrefrios.com")</f>
        <v>daramirez.nases@nutrefrios.com</v>
      </c>
      <c r="L144" s="3"/>
      <c r="M144" s="3"/>
      <c r="N144" s="3"/>
      <c r="O144" s="3"/>
      <c r="P144" s="3"/>
      <c r="Q144" s="3"/>
      <c r="R144" s="3"/>
      <c r="S144" s="3"/>
      <c r="T144" s="3"/>
      <c r="U144" s="3"/>
      <c r="V144" s="3"/>
      <c r="W144" s="3"/>
      <c r="X144" s="3"/>
      <c r="Y144" s="3"/>
    </row>
    <row r="145">
      <c r="A145" s="6" t="str">
        <f>IFERROR(__xludf.DUMMYFUNCTION("""COMPUTED_VALUE"""),"APPLUS NORCONTROL COLOMBIA LTDA")</f>
        <v>APPLUS NORCONTROL COLOMBIA LTDA</v>
      </c>
      <c r="B145" s="6" t="str">
        <f>IFERROR(__xludf.DUMMYFUNCTION("""COMPUTED_VALUE"""),"Ciclo tecnológico")</f>
        <v>Ciclo tecnológico</v>
      </c>
      <c r="C145" s="6" t="str">
        <f>IFERROR(__xludf.DUMMYFUNCTION("""COMPUTED_VALUE"""),"Tecnología en Gestión de Procesos Industriales")</f>
        <v>Tecnología en Gestión de Procesos Industriales</v>
      </c>
      <c r="D145" s="6" t="str">
        <f>IFERROR(__xludf.DUMMYFUNCTION("""COMPUTED_VALUE"""),"APPLUS NORCONTROL COLOMBIA LTDA busca talento comprometido para unirse a nuestra organización.
Requiere para su equipo de trabajo hombre o mujer para desempeñar el cargo de Aprendiz etapa Productiva en la ciudad de Bogotá, técnico o tecnólogo en Ingenieri"&amp;"a Industrial. Tipo de contrato: Contrato de aprendizaje, horario de lunes a jueves de 7:30 am a 5 pm, viernes de 7: 00 am a 4:00 pm, salario: SMMLV con todas las prestaciones de ley, lugar de trabajo: Bogotá, Localidad Chapinero, Barrio: San Felipe, cerca"&amp;" de la estación de la calle 72, Modalidad: Presencial. 
")</f>
        <v>APPLUS NORCONTROL COLOMBIA LTDA busca talento comprometido para unirse a nuestra organización.
Requiere para su equipo de trabajo hombre o mujer para desempeñar el cargo de Aprendiz etapa Productiva en la ciudad de Bogotá, técnico o tecnólogo en Ingenieria Industrial. Tipo de contrato: Contrato de aprendizaje, horario de lunes a jueves de 7:30 am a 5 pm, viernes de 7: 00 am a 4:00 pm, salario: SMMLV con todas las prestaciones de ley, lugar de trabajo: Bogotá, Localidad Chapinero, Barrio: San Felipe, cerca de la estación de la calle 72, Modalidad: Presencial. 
</v>
      </c>
      <c r="E145" s="7" t="str">
        <f>IFERROR(__xludf.DUMMYFUNCTION("""COMPUTED_VALUE"""),"Si")</f>
        <v>Si</v>
      </c>
      <c r="F145" s="6" t="str">
        <f>IFERROR(__xludf.DUMMYFUNCTION("""COMPUTED_VALUE"""),"Bogotá (Chia, Cota, Sopó, Cajicá y alrededores)")</f>
        <v>Bogotá (Chia, Cota, Sopó, Cajicá y alrededores)</v>
      </c>
      <c r="G145" s="6" t="str">
        <f>IFERROR(__xludf.DUMMYFUNCTION("""COMPUTED_VALUE"""),"Ingeniería Industrial")</f>
        <v>Ingeniería Industrial</v>
      </c>
      <c r="H145" s="6" t="str">
        <f>IFERROR(__xludf.DUMMYFUNCTION("""COMPUTED_VALUE"""),"1 SMMLV")</f>
        <v>1 SMMLV</v>
      </c>
      <c r="I145" s="8">
        <f>IFERROR(__xludf.DUMMYFUNCTION("""COMPUTED_VALUE"""),46287.0)</f>
        <v>46287</v>
      </c>
      <c r="J145" s="8">
        <f>IFERROR(__xludf.DUMMYFUNCTION("""COMPUTED_VALUE"""),46325.0)</f>
        <v>46325</v>
      </c>
      <c r="K145" s="7" t="str">
        <f>IFERROR(__xludf.DUMMYFUNCTION("""COMPUTED_VALUE"""),"lina.pedraza@applus.com")</f>
        <v>lina.pedraza@applus.com</v>
      </c>
      <c r="L145" s="3"/>
      <c r="M145" s="3"/>
      <c r="N145" s="3"/>
      <c r="O145" s="3"/>
      <c r="P145" s="3"/>
      <c r="Q145" s="3"/>
      <c r="R145" s="3"/>
      <c r="S145" s="3"/>
      <c r="T145" s="3"/>
      <c r="U145" s="3"/>
      <c r="V145" s="3"/>
      <c r="W145" s="3"/>
      <c r="X145" s="3"/>
      <c r="Y145" s="3"/>
    </row>
    <row r="146">
      <c r="A146" s="6" t="str">
        <f>IFERROR(__xludf.DUMMYFUNCTION("""COMPUTED_VALUE"""),"900074316")</f>
        <v>900074316</v>
      </c>
      <c r="B146" s="6" t="str">
        <f>IFERROR(__xludf.DUMMYFUNCTION("""COMPUTED_VALUE"""),"Ciclo tecnológico, Ciclo profesional")</f>
        <v>Ciclo tecnológico, Ciclo profesional</v>
      </c>
      <c r="C146" s="6" t="str">
        <f>IFERROR(__xludf.DUMMYFUNCTION("""COMPUTED_VALUE"""),"No aplica")</f>
        <v>No aplica</v>
      </c>
      <c r="D146" s="6" t="str">
        <f>IFERROR(__xludf.DUMMYFUNCTION("""COMPUTED_VALUE"""),"Cargo: HR Trainee
 Modalidad: Virtual
 Ubicación: Cualquier ciudad de Colombia
 Horario: 8:00 a.m. a 6:00 p.m.
 Tipo de contrato: Practicante
 Nivel de inglés: A1 (deseable entre A2 y B1)
 Formación: Estudiante universitario(a) de carreras administrativas"&amp;" o afines
 Experiencia: No se requiere experiencia previa
Principales funciones:
Apoyo en procesos de onboarding de nuevos ingresos.
Seguimiento a candidatos reportados como ingreso a la compañía.
Actualización y diligenciamiento de bases de datos.
Progr"&amp;"amación y coordinación de sesiones de onboarding.
Acompañamiento a áreas transversales durante el proceso de ingreso.
Apoyo en verificaciones de referencias laborales.
Gestión de formatos y documentación relacionada con procesos de Talento Humano.
Organiz"&amp;"ación e inventario de kits de onboarding.
Perfil requerido: Buscamos estudiantes con interés en desarrollar su carrera profesional en el área de Recursos Humanos, con disposición para aprender y fortalecer competencias como comunicación asertiva, trabajo"&amp;" en equipo, creatividad, razonamiento analítico y adaptabilidad al cambio.")</f>
        <v>Cargo: HR Trainee
 Modalidad: Virtual
 Ubicación: Cualquier ciudad de Colombia
 Horario: 8:00 a.m. a 6:00 p.m.
 Tipo de contrato: Practicante
 Nivel de inglés: A1 (deseable entre A2 y B1)
 Formación: Estudiante universitario(a) de carreras administrativas o afines
 Experiencia: No se requiere experiencia previa
Principales funciones:
Apoyo en procesos de onboarding de nuevos ingresos.
Seguimiento a candidatos reportados como ingreso a la compañía.
Actualización y diligenciamiento de bases de datos.
Programación y coordinación de sesiones de onboarding.
Acompañamiento a áreas transversales durante el proceso de ingreso.
Apoyo en verificaciones de referencias laborales.
Gestión de formatos y documentación relacionada con procesos de Talento Humano.
Organización e inventario de kits de onboarding.
Perfil requerido: Buscamos estudiantes con interés en desarrollar su carrera profesional en el área de Recursos Humanos, con disposición para aprender y fortalecer competencias como comunicación asertiva, trabajo en equipo, creatividad, razonamiento analítico y adaptabilidad al cambio.</v>
      </c>
      <c r="E146" s="7" t="str">
        <f>IFERROR(__xludf.DUMMYFUNCTION("""COMPUTED_VALUE"""),"Si")</f>
        <v>Si</v>
      </c>
      <c r="F146" s="6" t="str">
        <f>IFERROR(__xludf.DUMMYFUNCTION("""COMPUTED_VALUE"""),"Bogotá (Chia, Cota, Sopó, Cajicá y alrededores)")</f>
        <v>Bogotá (Chia, Cota, Sopó, Cajicá y alrededores)</v>
      </c>
      <c r="G146" s="6" t="str">
        <f>IFERROR(__xludf.DUMMYFUNCTION("""COMPUTED_VALUE"""),"Administración de Empresas Virtual, Ingeniería Industrial, Ingeniería de Sistemas")</f>
        <v>Administración de Empresas Virtual, Ingeniería Industrial, Ingeniería de Sistemas</v>
      </c>
      <c r="H146" s="6" t="str">
        <f>IFERROR(__xludf.DUMMYFUNCTION("""COMPUTED_VALUE"""),"1 SMMLV")</f>
        <v>1 SMMLV</v>
      </c>
      <c r="I146" s="8">
        <f>IFERROR(__xludf.DUMMYFUNCTION("""COMPUTED_VALUE"""),46287.0)</f>
        <v>46287</v>
      </c>
      <c r="J146" s="8">
        <f>IFERROR(__xludf.DUMMYFUNCTION("""COMPUTED_VALUE"""),46357.0)</f>
        <v>46357</v>
      </c>
      <c r="K146" s="7" t="str">
        <f>IFERROR(__xludf.DUMMYFUNCTION("""COMPUTED_VALUE"""),"angie.puentes@gft.com")</f>
        <v>angie.puentes@gft.com</v>
      </c>
      <c r="L146" s="3"/>
      <c r="M146" s="3"/>
      <c r="N146" s="3"/>
      <c r="O146" s="3"/>
      <c r="P146" s="3"/>
      <c r="Q146" s="3"/>
      <c r="R146" s="3"/>
      <c r="S146" s="3"/>
      <c r="T146" s="3"/>
      <c r="U146" s="3"/>
      <c r="V146" s="3"/>
      <c r="W146" s="3"/>
      <c r="X146" s="3"/>
      <c r="Y146" s="3"/>
    </row>
    <row r="147">
      <c r="A147" s="6" t="str">
        <f>IFERROR(__xludf.DUMMYFUNCTION("""COMPUTED_VALUE"""),"ALTEA FARMACEUTICA S.A")</f>
        <v>ALTEA FARMACEUTICA S.A</v>
      </c>
      <c r="B147" s="6" t="str">
        <f>IFERROR(__xludf.DUMMYFUNCTION("""COMPUTED_VALUE"""),"Ciclo tecnológico, Ciclo profesional")</f>
        <v>Ciclo tecnológico, Ciclo profesional</v>
      </c>
      <c r="C147" s="6" t="str">
        <f>IFERROR(__xludf.DUMMYFUNCTION("""COMPUTED_VALUE"""),"Tecnología en Procesos Químicos Industriales, Tecnología en Mecánica Industrial, Tecnología en Gestión de Procesos Industriales, Tecnología en Gestión Ambiental")</f>
        <v>Tecnología en Procesos Químicos Industriales, Tecnología en Mecánica Industrial, Tecnología en Gestión de Procesos Industriales, Tecnología en Gestión Ambiental</v>
      </c>
      <c r="D147" s="6" t="str">
        <f>IFERROR(__xludf.DUMMYFUNCTION("""COMPUTED_VALUE"""),"🚀 ¡Haz parte de Altea Farmacéutica!
Altea Farmacéutica está en búsqueda de Aprendices en formación de programas del área Química o Industrial, interesados en adquirir experiencia y desarrollar sus conocimientos en una compañía del sector farmacéutico.
"&amp;"🔬 Te ofrecemos
Tipo de contrato: Contrato de aprendizaje.
Salario: 1 SMMLV.
Prestaciones: De acuerdo con las condiciones establecidas para el contrato de aprendizaje.
Horario: Lunes a viernes de 8:00 a. m. a 5:30 p. m.
Modalidad: Presencial.
Lugar: Bogot"&amp;"á D.C.
🌟 ¿Por qué hacer parte de Altea Farmacéutica?
En Altea Farmacéutica tendrás la oportunidad de fortalecer tus conocimientos, adquirir experiencia en un entorno empresarial y conocer de cerca los procesos de una compañía del sector farmacéutico.
A"&amp;"demás, contamos con beneficios exclusivos para nuestros colaboradores, que hacen parte de la experiencia de pertenecer a Altea Farmacéutica.
🎯 ¿A quién buscamos?
Aprendices que se encuentren actualmente en formación en programas relacionados con el áre"&amp;"a Química o Industrial, con disposición para aprender, compromiso, responsabilidad y ganas de desarrollar nuevas habilidades.
¡Esta es tu oportunidad para comenzar a construir tu experiencia profesional con Altea Farmacéutica!")</f>
        <v>🚀 ¡Haz parte de Altea Farmacéutica!
Altea Farmacéutica está en búsqueda de Aprendices en formación de programas del área Química o Industrial, interesados en adquirir experiencia y desarrollar sus conocimientos en una compañía del sector farmacéutico.
🔬 Te ofrecemos
Tipo de contrato: Contrato de aprendizaje.
Salario: 1 SMMLV.
Prestaciones: De acuerdo con las condiciones establecidas para el contrato de aprendizaje.
Horario: Lunes a viernes de 8:00 a. m. a 5:30 p. m.
Modalidad: Presencial.
Lugar: Bogotá D.C.
🌟 ¿Por qué hacer parte de Altea Farmacéutica?
En Altea Farmacéutica tendrás la oportunidad de fortalecer tus conocimientos, adquirir experiencia en un entorno empresarial y conocer de cerca los procesos de una compañía del sector farmacéutico.
Además, contamos con beneficios exclusivos para nuestros colaboradores, que hacen parte de la experiencia de pertenecer a Altea Farmacéutica.
🎯 ¿A quién buscamos?
Aprendices que se encuentren actualmente en formación en programas relacionados con el área Química o Industrial, con disposición para aprender, compromiso, responsabilidad y ganas de desarrollar nuevas habilidades.
¡Esta es tu oportunidad para comenzar a construir tu experiencia profesional con Altea Farmacéutica!</v>
      </c>
      <c r="E147" s="7" t="str">
        <f>IFERROR(__xludf.DUMMYFUNCTION("""COMPUTED_VALUE"""),"Si")</f>
        <v>Si</v>
      </c>
      <c r="F147" s="6" t="str">
        <f>IFERROR(__xludf.DUMMYFUNCTION("""COMPUTED_VALUE"""),"Bogotá (Chia, Cota, Sopó, Cajicá y alrededores)")</f>
        <v>Bogotá (Chia, Cota, Sopó, Cajicá y alrededores)</v>
      </c>
      <c r="G147" s="6" t="str">
        <f>IFERROR(__xludf.DUMMYFUNCTION("""COMPUTED_VALUE"""),"Ingeniería Química, Ingeniería Industrial, Ingeniería de Sistemas, Ingeniería Ambiental")</f>
        <v>Ingeniería Química, Ingeniería Industrial, Ingeniería de Sistemas, Ingeniería Ambiental</v>
      </c>
      <c r="H147" s="6" t="str">
        <f>IFERROR(__xludf.DUMMYFUNCTION("""COMPUTED_VALUE"""),"1 SMMLV")</f>
        <v>1 SMMLV</v>
      </c>
      <c r="I147" s="8">
        <f>IFERROR(__xludf.DUMMYFUNCTION("""COMPUTED_VALUE"""),46288.0)</f>
        <v>46288</v>
      </c>
      <c r="J147" s="8">
        <f>IFERROR(__xludf.DUMMYFUNCTION("""COMPUTED_VALUE"""),46325.0)</f>
        <v>46325</v>
      </c>
      <c r="K147" s="7" t="str">
        <f>IFERROR(__xludf.DUMMYFUNCTION("""COMPUTED_VALUE"""),"juanps@cienogroup.com")</f>
        <v>juanps@cienogroup.com</v>
      </c>
      <c r="L147" s="3"/>
      <c r="M147" s="3"/>
      <c r="N147" s="3"/>
      <c r="O147" s="3"/>
      <c r="P147" s="3"/>
      <c r="Q147" s="3"/>
      <c r="R147" s="3"/>
      <c r="S147" s="3"/>
      <c r="T147" s="3"/>
      <c r="U147" s="3"/>
      <c r="V147" s="3"/>
      <c r="W147" s="3"/>
      <c r="X147" s="3"/>
      <c r="Y147" s="3"/>
    </row>
    <row r="148">
      <c r="A148" s="6" t="str">
        <f>IFERROR(__xludf.DUMMYFUNCTION("""COMPUTED_VALUE"""),"VIDRIERIA FENICIA S.A ")</f>
        <v>VIDRIERIA FENICIA S.A </v>
      </c>
      <c r="B148" s="6" t="str">
        <f>IFERROR(__xludf.DUMMYFUNCTION("""COMPUTED_VALUE"""),"Ciclo tecnológico, Ciclo profesional")</f>
        <v>Ciclo tecnológico, Ciclo profesional</v>
      </c>
      <c r="C148" s="6" t="str">
        <f>IFERROR(__xludf.DUMMYFUNCTION("""COMPUTED_VALUE"""),"Tecnología en Mecánica Industrial, Tecnología en Gestión de Procesos Industriales, Tecnología en Electrónica Industrial")</f>
        <v>Tecnología en Mecánica Industrial, Tecnología en Gestión de Procesos Industriales, Tecnología en Electrónica Industrial</v>
      </c>
      <c r="D148" s="6" t="str">
        <f>IFERROR(__xludf.DUMMYFUNCTION("""COMPUTED_VALUE"""),"Empresa de Manufactura con presencia global, requiere Estudiantes Técnicos, tecnólogos y Universitarios para realizar su etapa práctica en diferentes áreas de nuestra planta de producción de lunes a viernes. Ofrecemos contrato de aprendizaje y Beneficios "&amp;"adicionales de ruta y casino. ")</f>
        <v>Empresa de Manufactura con presencia global, requiere Estudiantes Técnicos, tecnólogos y Universitarios para realizar su etapa práctica en diferentes áreas de nuestra planta de producción de lunes a viernes. Ofrecemos contrato de aprendizaje y Beneficios adicionales de ruta y casino. </v>
      </c>
      <c r="E148" s="7" t="str">
        <f>IFERROR(__xludf.DUMMYFUNCTION("""COMPUTED_VALUE"""),"Si")</f>
        <v>Si</v>
      </c>
      <c r="F148" s="6" t="str">
        <f>IFERROR(__xludf.DUMMYFUNCTION("""COMPUTED_VALUE"""),"Bogotá (Chia, Cota, Sopó, Cajicá y alrededores)")</f>
        <v>Bogotá (Chia, Cota, Sopó, Cajicá y alrededores)</v>
      </c>
      <c r="G148" s="6" t="str">
        <f>IFERROR(__xludf.DUMMYFUNCTION("""COMPUTED_VALUE"""),"Ingeniería Mecatrónica, Ingeniería Mecánica, Ingeniería Industrial")</f>
        <v>Ingeniería Mecatrónica, Ingeniería Mecánica, Ingeniería Industrial</v>
      </c>
      <c r="H148" s="6" t="str">
        <f>IFERROR(__xludf.DUMMYFUNCTION("""COMPUTED_VALUE"""),"1 SMMLV")</f>
        <v>1 SMMLV</v>
      </c>
      <c r="I148" s="8">
        <f>IFERROR(__xludf.DUMMYFUNCTION("""COMPUTED_VALUE"""),46288.0)</f>
        <v>46288</v>
      </c>
      <c r="J148" s="8">
        <f>IFERROR(__xludf.DUMMYFUNCTION("""COMPUTED_VALUE"""),46387.0)</f>
        <v>46387</v>
      </c>
      <c r="K148" s="7" t="str">
        <f>IFERROR(__xludf.DUMMYFUNCTION("""COMPUTED_VALUE"""),"diana.morales@o-i.com")</f>
        <v>diana.morales@o-i.com</v>
      </c>
      <c r="L148" s="3"/>
      <c r="M148" s="3"/>
      <c r="N148" s="3"/>
      <c r="O148" s="3"/>
      <c r="P148" s="3"/>
      <c r="Q148" s="3"/>
      <c r="R148" s="3"/>
      <c r="S148" s="3"/>
      <c r="T148" s="3"/>
      <c r="U148" s="3"/>
      <c r="V148" s="3"/>
      <c r="W148" s="3"/>
      <c r="X148" s="3"/>
      <c r="Y148" s="3"/>
    </row>
    <row r="149">
      <c r="A149" s="6" t="str">
        <f>IFERROR(__xludf.DUMMYFUNCTION("""COMPUTED_VALUE"""),"SECAP LTDA")</f>
        <v>SECAP LTDA</v>
      </c>
      <c r="B149" s="6" t="str">
        <f>IFERROR(__xludf.DUMMYFUNCTION("""COMPUTED_VALUE"""),"Ciclo tecnológico")</f>
        <v>Ciclo tecnológico</v>
      </c>
      <c r="C149" s="6" t="str">
        <f>IFERROR(__xludf.DUMMYFUNCTION("""COMPUTED_VALUE"""),"Tecnología en Gestión Contable")</f>
        <v>Tecnología en Gestión Contable</v>
      </c>
      <c r="D149" s="6" t="str">
        <f>IFERROR(__xludf.DUMMYFUNCTION("""COMPUTED_VALUE"""),"Nosotros somos EL GRUPO EMPRESARIAL SECAP fundado en el año de 1998. Hoy en día la institución hace parte de la empresa Inversiones Martínez Castañeda, cuyos directivos son la señora María Marcela Martínez Castañeda.
Actualmente nos encontramos en la búsq"&amp;"ueda de Practicantes - Pasantes en el Técnicos administrativos, recursos humanos, gestión en talento humano, tecnólogos en talento humano, recursos humanos.
Para los estudiantes - practicantes ofrecemos diferentes beneficios dentro de los cuales resaltam"&amp;"os:
    Experiencia laboral real y desarrollo personal:
Proporcionamos un entorno laboral real que les permite aplicar sus conocimientos teóricos lo que les ayuda a consolidar su formación profesional integral. En este sentido, los estudiantes pueden de"&amp;"sarrollar habilidades prácticas y competencias blandas lo que les permite adquirir nuevas competencias.
    Jornadas de capacitación:
Diseñamos programas para proporcionar a los practicantes las habilidades y conocimientos necesarios para desempeñarse e"&amp;"n sus roles profesionales.
    Ampliación de la red de contactos:
Los estudiantes pueden conocer a profesionales de la industria, establecer relaciones y potencialmente encontrar oportunidades futuras.
    Oportunidad de contratación con la institución"&amp;":
Ofrecemos la oportunidad de contratar a los estudiantes una vez finalizadas sus prácticas de acuerdo con su desempeño.
    Apoyo de sostenimiento y afiliación a ARL:
Brindamos un apoyo de sostenimiento económico al igual que la correspondiente afilia"&amp;"ción a la ARL
")</f>
        <v>Nosotros somos EL GRUPO EMPRESARIAL SECAP fundado en el año de 1998. Hoy en día la institución hace parte de la empresa Inversiones Martínez Castañeda, cuyos directivos son la señora María Marcela Martínez Castañeda.
Actualmente nos encontramos en la búsqueda de Practicantes - Pasantes en el Técnicos administrativos, recursos humanos, gestión en talento humano, tecnólogos en talento humano, recursos humanos.
Para los estudiantes - practicantes ofrecemos diferentes beneficios dentro de los cuales resaltamos:
    Experiencia laboral real y desarrollo personal:
Proporcionamos un entorno laboral real que les permite aplicar sus conocimientos teóricos lo que les ayuda a consolidar su formación profesional integral. En este sentido, los estudiantes pueden desarrollar habilidades prácticas y competencias blandas lo que les permite adquirir nuevas competencias.
    Jornadas de capacitación:
Diseñamos programas para proporcionar a los practicantes las habilidades y conocimientos necesarios para desempeñarse en sus roles profesionales.
    Ampliación de la red de contactos:
Los estudiantes pueden conocer a profesionales de la industria, establecer relaciones y potencialmente encontrar oportunidades futuras.
    Oportunidad de contratación con la institución:
Ofrecemos la oportunidad de contratar a los estudiantes una vez finalizadas sus prácticas de acuerdo con su desempeño.
    Apoyo de sostenimiento y afiliación a ARL:
Brindamos un apoyo de sostenimiento económico al igual que la correspondiente afiliación a la ARL
</v>
      </c>
      <c r="E149" s="7" t="str">
        <f>IFERROR(__xludf.DUMMYFUNCTION("""COMPUTED_VALUE"""),"No")</f>
        <v>No</v>
      </c>
      <c r="F149" s="6" t="str">
        <f>IFERROR(__xludf.DUMMYFUNCTION("""COMPUTED_VALUE"""),"Bogotá (Chia, Cota, Sopó, Cajicá y alrededores)")</f>
        <v>Bogotá (Chia, Cota, Sopó, Cajicá y alrededores)</v>
      </c>
      <c r="G149" s="6" t="str">
        <f>IFERROR(__xludf.DUMMYFUNCTION("""COMPUTED_VALUE"""),"Mercadeo y Publicidad, Administración de Empresas Virtual")</f>
        <v>Mercadeo y Publicidad, Administración de Empresas Virtual</v>
      </c>
      <c r="H149" s="6" t="str">
        <f>IFERROR(__xludf.DUMMYFUNCTION("""COMPUTED_VALUE"""),"Menos de 1 SMMLV")</f>
        <v>Menos de 1 SMMLV</v>
      </c>
      <c r="I149" s="8">
        <f>IFERROR(__xludf.DUMMYFUNCTION("""COMPUTED_VALUE"""),46289.0)</f>
        <v>46289</v>
      </c>
      <c r="J149" s="8">
        <f>IFERROR(__xludf.DUMMYFUNCTION("""COMPUTED_VALUE"""),46354.0)</f>
        <v>46354</v>
      </c>
      <c r="K149" s="7" t="str">
        <f>IFERROR(__xludf.DUMMYFUNCTION("""COMPUTED_VALUE"""),"coordinacionrrhh@secap.com.co")</f>
        <v>coordinacionrrhh@secap.com.co</v>
      </c>
      <c r="L149" s="3"/>
      <c r="M149" s="3"/>
      <c r="N149" s="3"/>
      <c r="O149" s="3"/>
      <c r="P149" s="3"/>
      <c r="Q149" s="3"/>
      <c r="R149" s="3"/>
      <c r="S149" s="3"/>
      <c r="T149" s="3"/>
      <c r="U149" s="3"/>
      <c r="V149" s="3"/>
      <c r="W149" s="3"/>
      <c r="X149" s="3"/>
      <c r="Y149" s="3"/>
    </row>
    <row r="150">
      <c r="A150" s="6" t="str">
        <f>IFERROR(__xludf.DUMMYFUNCTION("""COMPUTED_VALUE"""),"PROGEN S.A.")</f>
        <v>PROGEN S.A.</v>
      </c>
      <c r="B150" s="6" t="str">
        <f>IFERROR(__xludf.DUMMYFUNCTION("""COMPUTED_VALUE"""),"Ciclo tecnológico")</f>
        <v>Ciclo tecnológico</v>
      </c>
      <c r="C150" s="6" t="str">
        <f>IFERROR(__xludf.DUMMYFUNCTION("""COMPUTED_VALUE"""),"Tecnología en Procesos Químicos Industriales, Tecnología en Procesamiento de Polímeros, Tecnología en Gestión de Procesos Industriales, Tecnología en Gestión Ambiental")</f>
        <v>Tecnología en Procesos Químicos Industriales, Tecnología en Procesamiento de Polímeros, Tecnología en Gestión de Procesos Industriales, Tecnología en Gestión Ambiental</v>
      </c>
      <c r="D150" s="6" t="str">
        <f>IFERROR(__xludf.DUMMYFUNCTION("""COMPUTED_VALUE"""),"Reconocida empresa del sector industrial está en la búsqueda de practicantes; para apoyar área de CALIDAD, ofreciendo una excelente oportunidad para aplicar conocimientos y adquirir experiencia profesional. 
- Ubicación: municipio de Soacha - Horario: Lun"&amp;"es a viernes presencial (horario de oficina) 
- Remuneración: SMLV + Auxilio de transporte + prestaciones
sociales y otros beneficios corporativos 
- Funciones: Apoyo en las diferentes tareas relacionadas con el área asignada, aplicación de conocimientos "&amp;"académicos en el desarrollo de las prácticas, soporte operativo y administrativo según requerimientos del
área. 
- Vinculación por medio de contrato especial de aprendizaje")</f>
        <v>Reconocida empresa del sector industrial está en la búsqueda de practicantes; para apoyar área de CALIDAD, ofreciendo una excelente oportunidad para aplicar conocimientos y adquirir experiencia profesional. 
- Ubicación: municipio de Soacha - Horario: Lunes a viernes presencial (horario de oficina) 
- Remuneración: SMLV + Auxilio de transporte + prestaciones
sociales y otros beneficios corporativos 
- Funciones: Apoyo en las diferentes tareas relacionadas con el área asignada, aplicación de conocimientos académicos en el desarrollo de las prácticas, soporte operativo y administrativo según requerimientos del
área. 
- Vinculación por medio de contrato especial de aprendizaje</v>
      </c>
      <c r="E150" s="7" t="str">
        <f>IFERROR(__xludf.DUMMYFUNCTION("""COMPUTED_VALUE"""),"Si")</f>
        <v>Si</v>
      </c>
      <c r="F150" s="6" t="str">
        <f>IFERROR(__xludf.DUMMYFUNCTION("""COMPUTED_VALUE"""),"Bogotá (Chia, Cota, Sopó, Cajicá y alrededores)")</f>
        <v>Bogotá (Chia, Cota, Sopó, Cajicá y alrededores)</v>
      </c>
      <c r="G150" s="6" t="str">
        <f>IFERROR(__xludf.DUMMYFUNCTION("""COMPUTED_VALUE"""),"Ingeniería Química, Ingeniería de Polímeros, Ingeniería Industrial, Ingeniería Ambiental")</f>
        <v>Ingeniería Química, Ingeniería de Polímeros, Ingeniería Industrial, Ingeniería Ambiental</v>
      </c>
      <c r="H150" s="6" t="str">
        <f>IFERROR(__xludf.DUMMYFUNCTION("""COMPUTED_VALUE"""),"1 SMMLV")</f>
        <v>1 SMMLV</v>
      </c>
      <c r="I150" s="8">
        <f>IFERROR(__xludf.DUMMYFUNCTION("""COMPUTED_VALUE"""),46289.0)</f>
        <v>46289</v>
      </c>
      <c r="J150" s="8">
        <f>IFERROR(__xludf.DUMMYFUNCTION("""COMPUTED_VALUE"""),46319.0)</f>
        <v>46319</v>
      </c>
      <c r="K150" s="7" t="str">
        <f>IFERROR(__xludf.DUMMYFUNCTION("""COMPUTED_VALUE"""),"gh.analista@progen.com.co")</f>
        <v>gh.analista@progen.com.co</v>
      </c>
      <c r="L150" s="3"/>
      <c r="M150" s="3"/>
      <c r="N150" s="3"/>
      <c r="O150" s="3"/>
      <c r="P150" s="3"/>
      <c r="Q150" s="3"/>
      <c r="R150" s="3"/>
      <c r="S150" s="3"/>
      <c r="T150" s="3"/>
      <c r="U150" s="3"/>
      <c r="V150" s="3"/>
      <c r="W150" s="3"/>
      <c r="X150" s="3"/>
      <c r="Y150" s="3"/>
    </row>
    <row r="151">
      <c r="A151" s="6" t="str">
        <f>IFERROR(__xludf.DUMMYFUNCTION("""COMPUTED_VALUE"""),"FUNDACIÓN ESCUELA DE ARTES Y OFICIOS SANTO DOMINGO")</f>
        <v>FUNDACIÓN ESCUELA DE ARTES Y OFICIOS SANTO DOMINGO</v>
      </c>
      <c r="B151" s="6" t="str">
        <f>IFERROR(__xludf.DUMMYFUNCTION("""COMPUTED_VALUE"""),"Ciclo tecnológico")</f>
        <v>Ciclo tecnológico</v>
      </c>
      <c r="C151" s="6" t="str">
        <f>IFERROR(__xludf.DUMMYFUNCTION("""COMPUTED_VALUE"""),"Tecnología en Gestión Contable")</f>
        <v>Tecnología en Gestión Contable</v>
      </c>
      <c r="D151" s="6" t="str">
        <f>IFERROR(__xludf.DUMMYFUNCTION("""COMPUTED_VALUE"""),"Apoyo al área administrativa y financiera.
Debe apoyar la gestión de diferentes procesos, trámites internos
Gestión documental del área contable y administrativa.
Mantener actualizados registros asignados a su gestión.")</f>
        <v>Apoyo al área administrativa y financiera.
Debe apoyar la gestión de diferentes procesos, trámites internos
Gestión documental del área contable y administrativa.
Mantener actualizados registros asignados a su gestión.</v>
      </c>
      <c r="E151" s="7" t="str">
        <f>IFERROR(__xludf.DUMMYFUNCTION("""COMPUTED_VALUE"""),"No")</f>
        <v>No</v>
      </c>
      <c r="F151" s="6" t="str">
        <f>IFERROR(__xludf.DUMMYFUNCTION("""COMPUTED_VALUE"""),"Bogotá (Chia, Cota, Sopó, Cajicá y alrededores)")</f>
        <v>Bogotá (Chia, Cota, Sopó, Cajicá y alrededores)</v>
      </c>
      <c r="G151" s="6" t="str">
        <f>IFERROR(__xludf.DUMMYFUNCTION("""COMPUTED_VALUE"""),"Contaduría Pública, Administración de Empresas Virtual")</f>
        <v>Contaduría Pública, Administración de Empresas Virtual</v>
      </c>
      <c r="H151" s="6" t="str">
        <f>IFERROR(__xludf.DUMMYFUNCTION("""COMPUTED_VALUE"""),"1 SMMLV")</f>
        <v>1 SMMLV</v>
      </c>
      <c r="I151" s="8">
        <f>IFERROR(__xludf.DUMMYFUNCTION("""COMPUTED_VALUE"""),46288.0)</f>
        <v>46288</v>
      </c>
      <c r="J151" s="8">
        <f>IFERROR(__xludf.DUMMYFUNCTION("""COMPUTED_VALUE"""),46314.0)</f>
        <v>46314</v>
      </c>
      <c r="K151" s="7" t="str">
        <f>IFERROR(__xludf.DUMMYFUNCTION("""COMPUTED_VALUE"""),"a.ghumana@eaosd.org")</f>
        <v>a.ghumana@eaosd.org</v>
      </c>
      <c r="L151" s="3"/>
      <c r="M151" s="3"/>
      <c r="N151" s="3"/>
      <c r="O151" s="3"/>
      <c r="P151" s="3"/>
      <c r="Q151" s="3"/>
      <c r="R151" s="3"/>
      <c r="S151" s="3"/>
      <c r="T151" s="3"/>
      <c r="U151" s="3"/>
      <c r="V151" s="3"/>
      <c r="W151" s="3"/>
      <c r="X151" s="3"/>
      <c r="Y151" s="3"/>
    </row>
    <row r="152">
      <c r="A152" s="6" t="str">
        <f>IFERROR(__xludf.DUMMYFUNCTION("""COMPUTED_VALUE"""),"CODITEQ SA")</f>
        <v>CODITEQ SA</v>
      </c>
      <c r="B152" s="6" t="str">
        <f>IFERROR(__xludf.DUMMYFUNCTION("""COMPUTED_VALUE"""),"Ciclo profesional")</f>
        <v>Ciclo profesional</v>
      </c>
      <c r="C152" s="6" t="str">
        <f>IFERROR(__xludf.DUMMYFUNCTION("""COMPUTED_VALUE"""),"No aplica")</f>
        <v>No aplica</v>
      </c>
      <c r="D152" s="6" t="str">
        <f>IFERROR(__xludf.DUMMYFUNCTION("""COMPUTED_VALUE"""),"Empresa del sector de manufactura requiere para su equipo un practicante para Talento Humano que se encargue de asegurar eficientemente las actividades derivadas del área de talento humano, garantizando el flujo en las solicitudes del cliente interno, de "&amp;"acuerdo a las políticas y normas existentes.")</f>
        <v>Empresa del sector de manufactura requiere para su equipo un practicante para Talento Humano que se encargue de asegurar eficientemente las actividades derivadas del área de talento humano, garantizando el flujo en las solicitudes del cliente interno, de acuerdo a las políticas y normas existentes.</v>
      </c>
      <c r="E152" s="7" t="str">
        <f>IFERROR(__xludf.DUMMYFUNCTION("""COMPUTED_VALUE"""),"No")</f>
        <v>No</v>
      </c>
      <c r="F152" s="6" t="str">
        <f>IFERROR(__xludf.DUMMYFUNCTION("""COMPUTED_VALUE"""),"Bogotá (Chia, Cota, Sopó, Cajicá y alrededores)")</f>
        <v>Bogotá (Chia, Cota, Sopó, Cajicá y alrededores)</v>
      </c>
      <c r="G152" s="6" t="str">
        <f>IFERROR(__xludf.DUMMYFUNCTION("""COMPUTED_VALUE"""),"Ingeniería Industrial")</f>
        <v>Ingeniería Industrial</v>
      </c>
      <c r="H152" s="6" t="str">
        <f>IFERROR(__xludf.DUMMYFUNCTION("""COMPUTED_VALUE"""),"1 SMMLV")</f>
        <v>1 SMMLV</v>
      </c>
      <c r="I152" s="8">
        <f>IFERROR(__xludf.DUMMYFUNCTION("""COMPUTED_VALUE"""),46288.0)</f>
        <v>46288</v>
      </c>
      <c r="J152" s="8">
        <f>IFERROR(__xludf.DUMMYFUNCTION("""COMPUTED_VALUE"""),46386.0)</f>
        <v>46386</v>
      </c>
      <c r="K152" s="7" t="str">
        <f>IFERROR(__xludf.DUMMYFUNCTION("""COMPUTED_VALUE"""),"analista.th@coditeq.com")</f>
        <v>analista.th@coditeq.com</v>
      </c>
      <c r="L152" s="3"/>
      <c r="M152" s="3"/>
      <c r="N152" s="3"/>
      <c r="O152" s="3"/>
      <c r="P152" s="3"/>
      <c r="Q152" s="3"/>
      <c r="R152" s="3"/>
      <c r="S152" s="3"/>
      <c r="T152" s="3"/>
      <c r="U152" s="3"/>
      <c r="V152" s="3"/>
      <c r="W152" s="3"/>
      <c r="X152" s="3"/>
      <c r="Y152" s="3"/>
    </row>
    <row r="153">
      <c r="A153" s="6" t="str">
        <f>IFERROR(__xludf.DUMMYFUNCTION("""COMPUTED_VALUE"""),"ERM COLOMBIA")</f>
        <v>ERM COLOMBIA</v>
      </c>
      <c r="B153" s="6" t="str">
        <f>IFERROR(__xludf.DUMMYFUNCTION("""COMPUTED_VALUE"""),"Ciclo tecnológico")</f>
        <v>Ciclo tecnológico</v>
      </c>
      <c r="C153" s="6" t="str">
        <f>IFERROR(__xludf.DUMMYFUNCTION("""COMPUTED_VALUE"""),"Tecnología en Gestión Contable")</f>
        <v>Tecnología en Gestión Contable</v>
      </c>
      <c r="D153" s="6" t="str">
        <f>IFERROR(__xludf.DUMMYFUNCTION("""COMPUTED_VALUE"""),"ERM Colombia busca un(a) Aprendiz para el área de Finanzas, con interés en desarrollar su etapa práctica apoyando al equipo de Facturación. Esta es una excelente oportunidad para adquirir experiencia en procesos financieros y administrativos dentro de una"&amp;" compañía global de consultoría en sostenibilidad.")</f>
        <v>ERM Colombia busca un(a) Aprendiz para el área de Finanzas, con interés en desarrollar su etapa práctica apoyando al equipo de Facturación. Esta es una excelente oportunidad para adquirir experiencia en procesos financieros y administrativos dentro de una compañía global de consultoría en sostenibilidad.</v>
      </c>
      <c r="E153" s="7" t="str">
        <f>IFERROR(__xludf.DUMMYFUNCTION("""COMPUTED_VALUE"""),"No")</f>
        <v>No</v>
      </c>
      <c r="F153" s="6" t="str">
        <f>IFERROR(__xludf.DUMMYFUNCTION("""COMPUTED_VALUE"""),"Bogotá (Chia, Cota, Sopó, Cajicá y alrededores)")</f>
        <v>Bogotá (Chia, Cota, Sopó, Cajicá y alrededores)</v>
      </c>
      <c r="G153" s="6" t="str">
        <f>IFERROR(__xludf.DUMMYFUNCTION("""COMPUTED_VALUE"""),"Contaduría Pública")</f>
        <v>Contaduría Pública</v>
      </c>
      <c r="H153" s="6" t="str">
        <f>IFERROR(__xludf.DUMMYFUNCTION("""COMPUTED_VALUE"""),"1 SMMLV")</f>
        <v>1 SMMLV</v>
      </c>
      <c r="I153" s="8">
        <f>IFERROR(__xludf.DUMMYFUNCTION("""COMPUTED_VALUE"""),46288.0)</f>
        <v>46288</v>
      </c>
      <c r="J153" s="8">
        <f>IFERROR(__xludf.DUMMYFUNCTION("""COMPUTED_VALUE"""),46304.0)</f>
        <v>46304</v>
      </c>
      <c r="K153" s="7" t="str">
        <f>IFERROR(__xludf.DUMMYFUNCTION("""COMPUTED_VALUE"""),"kellyn.rodriguez@erm.com")</f>
        <v>kellyn.rodriguez@erm.com</v>
      </c>
      <c r="L153" s="3"/>
      <c r="M153" s="3"/>
      <c r="N153" s="3"/>
      <c r="O153" s="3"/>
      <c r="P153" s="3"/>
      <c r="Q153" s="3"/>
      <c r="R153" s="3"/>
      <c r="S153" s="3"/>
      <c r="T153" s="3"/>
      <c r="U153" s="3"/>
      <c r="V153" s="3"/>
      <c r="W153" s="3"/>
      <c r="X153" s="3"/>
      <c r="Y153" s="3"/>
    </row>
    <row r="154">
      <c r="A154" s="6" t="str">
        <f>IFERROR(__xludf.DUMMYFUNCTION("""COMPUTED_VALUE"""),"COLOMPACK")</f>
        <v>COLOMPACK</v>
      </c>
      <c r="B154" s="6" t="str">
        <f>IFERROR(__xludf.DUMMYFUNCTION("""COMPUTED_VALUE"""),"Ciclo tecnológico")</f>
        <v>Ciclo tecnológico</v>
      </c>
      <c r="C154" s="6" t="str">
        <f>IFERROR(__xludf.DUMMYFUNCTION("""COMPUTED_VALUE"""),"Tecnología en Procesos Químicos Industriales")</f>
        <v>Tecnología en Procesos Químicos Industriales</v>
      </c>
      <c r="D154" s="6" t="str">
        <f>IFERROR(__xludf.DUMMYFUNCTION("""COMPUTED_VALUE"""),"En Colompack estamos en búsqueda de un Aprendiz Tecnólogo en Química interesado en desarrollar su etapa práctica y adquirir experiencia en el sector farmacéutico y maquilador.
La persona seleccionada apoyará las actividades relacionadas con los procesos "&amp;"de laboratorio, control de calidad, análisis y manejo de materiales, cumpliendo los procedimientos establecidos y los estándares de calidad y seguridad de la compañía.")</f>
        <v>En Colompack estamos en búsqueda de un Aprendiz Tecnólogo en Química interesado en desarrollar su etapa práctica y adquirir experiencia en el sector farmacéutico y maquilador.
La persona seleccionada apoyará las actividades relacionadas con los procesos de laboratorio, control de calidad, análisis y manejo de materiales, cumpliendo los procedimientos establecidos y los estándares de calidad y seguridad de la compañía.</v>
      </c>
      <c r="E154" s="7" t="str">
        <f>IFERROR(__xludf.DUMMYFUNCTION("""COMPUTED_VALUE"""),"Si")</f>
        <v>Si</v>
      </c>
      <c r="F154" s="6" t="str">
        <f>IFERROR(__xludf.DUMMYFUNCTION("""COMPUTED_VALUE"""),"Bogotá (Chia, Cota, Sopó, Cajicá y alrededores)")</f>
        <v>Bogotá (Chia, Cota, Sopó, Cajicá y alrededores)</v>
      </c>
      <c r="G154" s="6" t="str">
        <f>IFERROR(__xludf.DUMMYFUNCTION("""COMPUTED_VALUE"""),"Ingeniería Química")</f>
        <v>Ingeniería Química</v>
      </c>
      <c r="H154" s="6" t="str">
        <f>IFERROR(__xludf.DUMMYFUNCTION("""COMPUTED_VALUE"""),"1 SMMLV")</f>
        <v>1 SMMLV</v>
      </c>
      <c r="I154" s="8">
        <f>IFERROR(__xludf.DUMMYFUNCTION("""COMPUTED_VALUE"""),46289.0)</f>
        <v>46289</v>
      </c>
      <c r="J154" s="8">
        <f>IFERROR(__xludf.DUMMYFUNCTION("""COMPUTED_VALUE"""),46296.0)</f>
        <v>46296</v>
      </c>
      <c r="K154" s="7" t="str">
        <f>IFERROR(__xludf.DUMMYFUNCTION("""COMPUTED_VALUE"""),"seleccion.personal1@colompack.com")</f>
        <v>seleccion.personal1@colompack.com</v>
      </c>
      <c r="L154" s="3"/>
      <c r="M154" s="3"/>
      <c r="N154" s="3"/>
      <c r="O154" s="3"/>
      <c r="P154" s="3"/>
      <c r="Q154" s="3"/>
      <c r="R154" s="3"/>
      <c r="S154" s="3"/>
      <c r="T154" s="3"/>
      <c r="U154" s="3"/>
      <c r="V154" s="3"/>
      <c r="W154" s="3"/>
      <c r="X154" s="3"/>
      <c r="Y154" s="3"/>
    </row>
    <row r="155">
      <c r="A155" s="6" t="str">
        <f>IFERROR(__xludf.DUMMYFUNCTION("""COMPUTED_VALUE"""),"MULTIJUEGOS SAS")</f>
        <v>MULTIJUEGOS SAS</v>
      </c>
      <c r="B155" s="6" t="str">
        <f>IFERROR(__xludf.DUMMYFUNCTION("""COMPUTED_VALUE"""),"Ciclo tecnológico")</f>
        <v>Ciclo tecnológico</v>
      </c>
      <c r="C155" s="6" t="str">
        <f>IFERROR(__xludf.DUMMYFUNCTION("""COMPUTED_VALUE"""),"Tecnología en Mecánica Industrial")</f>
        <v>Tecnología en Mecánica Industrial</v>
      </c>
      <c r="D155" s="6" t="str">
        <f>IFERROR(__xludf.DUMMYFUNCTION("""COMPUTED_VALUE"""),"Empresa de entretenimiento requiero aprendices para el área de mantenimiento, para contrato de aprendizaje, especialmente en etapa práctica para contratación inmediata. Especialmente jovenes de 19 a 25 años con disposición aprender. ")</f>
        <v>Empresa de entretenimiento requiero aprendices para el área de mantenimiento, para contrato de aprendizaje, especialmente en etapa práctica para contratación inmediata. Especialmente jovenes de 19 a 25 años con disposición aprender. </v>
      </c>
      <c r="E155" s="7" t="str">
        <f>IFERROR(__xludf.DUMMYFUNCTION("""COMPUTED_VALUE"""),"Si")</f>
        <v>Si</v>
      </c>
      <c r="F155" s="6" t="str">
        <f>IFERROR(__xludf.DUMMYFUNCTION("""COMPUTED_VALUE"""),"Bogotá (Chia, Cota, Sopó, Cajicá y alrededores)")</f>
        <v>Bogotá (Chia, Cota, Sopó, Cajicá y alrededores)</v>
      </c>
      <c r="G155" s="6" t="str">
        <f>IFERROR(__xludf.DUMMYFUNCTION("""COMPUTED_VALUE"""),"Contaduría Pública, Ingeniería Mecatrónica, Ingeniería Mecánica, Ingeniería Electrónica")</f>
        <v>Contaduría Pública, Ingeniería Mecatrónica, Ingeniería Mecánica, Ingeniería Electrónica</v>
      </c>
      <c r="H155" s="6" t="str">
        <f>IFERROR(__xludf.DUMMYFUNCTION("""COMPUTED_VALUE"""),"1 SMMLV")</f>
        <v>1 SMMLV</v>
      </c>
      <c r="I155" s="8">
        <f>IFERROR(__xludf.DUMMYFUNCTION("""COMPUTED_VALUE"""),46289.0)</f>
        <v>46289</v>
      </c>
      <c r="J155" s="8">
        <f>IFERROR(__xludf.DUMMYFUNCTION("""COMPUTED_VALUE"""),46295.0)</f>
        <v>46295</v>
      </c>
      <c r="K155" s="7" t="str">
        <f>IFERROR(__xludf.DUMMYFUNCTION("""COMPUTED_VALUE"""),"seleccion.desarrollo@multijuegos.com.co")</f>
        <v>seleccion.desarrollo@multijuegos.com.co</v>
      </c>
      <c r="L155" s="3"/>
      <c r="M155" s="3"/>
      <c r="N155" s="3"/>
      <c r="O155" s="3"/>
      <c r="P155" s="3"/>
      <c r="Q155" s="3"/>
      <c r="R155" s="3"/>
      <c r="S155" s="3"/>
      <c r="T155" s="3"/>
      <c r="U155" s="3"/>
      <c r="V155" s="3"/>
      <c r="W155" s="3"/>
      <c r="X155" s="3"/>
      <c r="Y155" s="3"/>
    </row>
    <row r="156">
      <c r="A156" s="6" t="str">
        <f>IFERROR(__xludf.DUMMYFUNCTION("""COMPUTED_VALUE"""),"INGRAFLEX SAS")</f>
        <v>INGRAFLEX SAS</v>
      </c>
      <c r="B156" s="6" t="str">
        <f>IFERROR(__xludf.DUMMYFUNCTION("""COMPUTED_VALUE"""),"Ciclo tecnológico, Ciclo profesional")</f>
        <v>Ciclo tecnológico, Ciclo profesional</v>
      </c>
      <c r="C156" s="6" t="str">
        <f>IFERROR(__xludf.DUMMYFUNCTION("""COMPUTED_VALUE"""),"Tecnología en Mecánica Industrial, Tecnología en Electrónica Industrial")</f>
        <v>Tecnología en Mecánica Industrial, Tecnología en Electrónica Industrial</v>
      </c>
      <c r="D156" s="6" t="str">
        <f>IFERROR(__xludf.DUMMYFUNCTION("""COMPUTED_VALUE"""),"Empresa del sector Gráfico especialista en mantenimiento y servicio post venta de maquinaria industrial. 
Buscamos un Auxiliar Mecánico, te encargarás de realizar tareas diarias relacionadas con el mantenimiento y reparación de equipos mecánicos. Desarro"&amp;"llarás labores de mantenimiento preventivo y correctivo para garantizar la eficiencia y durabilidad de los equipos industriales, asegurando que cumplan con los estándares de calidad y seguridad. Este es un puesto de tiempo completo que se desarrollará de "&amp;"manera presencial en nuestra sede en Bogotá, D.C.
Experiencia en el mantenimiento y mantenimiento preventivo de maquinaria y equipos mecánicos.
Habilidad para ejecutar reparaciones y solucionar problemas técnicos en equipos pesados.
Conocimientos relaci"&amp;"onados con equipos especializados y operación de maquinaria pesada.
Capacidad para trabajar en equipo, proactividad y atención a los detalles.")</f>
        <v>Empresa del sector Gráfico especialista en mantenimiento y servicio post venta de maquinaria industrial. 
Buscamos un Auxiliar Mecánico, te encargarás de realizar tareas diarias relacionadas con el mantenimiento y reparación de equipos mecánicos. Desarrollarás labores de mantenimiento preventivo y correctivo para garantizar la eficiencia y durabilidad de los equipos industriales, asegurando que cumplan con los estándares de calidad y seguridad. Este es un puesto de tiempo completo que se desarrollará de manera presencial en nuestra sede en Bogotá, D.C.
Experiencia en el mantenimiento y mantenimiento preventivo de maquinaria y equipos mecánicos.
Habilidad para ejecutar reparaciones y solucionar problemas técnicos en equipos pesados.
Conocimientos relacionados con equipos especializados y operación de maquinaria pesada.
Capacidad para trabajar en equipo, proactividad y atención a los detalles.</v>
      </c>
      <c r="E156" s="7" t="str">
        <f>IFERROR(__xludf.DUMMYFUNCTION("""COMPUTED_VALUE"""),"Si")</f>
        <v>Si</v>
      </c>
      <c r="F156" s="6" t="str">
        <f>IFERROR(__xludf.DUMMYFUNCTION("""COMPUTED_VALUE"""),"Bogotá (Chia, Cota, Sopó, Cajicá y alrededores)")</f>
        <v>Bogotá (Chia, Cota, Sopó, Cajicá y alrededores)</v>
      </c>
      <c r="G156" s="6" t="str">
        <f>IFERROR(__xludf.DUMMYFUNCTION("""COMPUTED_VALUE"""),"Ingeniería Mecatrónica, Ingeniería Mecánica, Ingeniería Electrónica")</f>
        <v>Ingeniería Mecatrónica, Ingeniería Mecánica, Ingeniería Electrónica</v>
      </c>
      <c r="H156" s="6" t="str">
        <f>IFERROR(__xludf.DUMMYFUNCTION("""COMPUTED_VALUE"""),"1 SMMLV")</f>
        <v>1 SMMLV</v>
      </c>
      <c r="I156" s="8">
        <f>IFERROR(__xludf.DUMMYFUNCTION("""COMPUTED_VALUE"""),46289.0)</f>
        <v>46289</v>
      </c>
      <c r="J156" s="8">
        <f>IFERROR(__xludf.DUMMYFUNCTION("""COMPUTED_VALUE"""),46327.0)</f>
        <v>46327</v>
      </c>
      <c r="K156" s="7" t="str">
        <f>IFERROR(__xludf.DUMMYFUNCTION("""COMPUTED_VALUE"""),"gerencia@ingraflex.com")</f>
        <v>gerencia@ingraflex.com</v>
      </c>
      <c r="L156" s="3"/>
      <c r="M156" s="3"/>
      <c r="N156" s="3"/>
      <c r="O156" s="3"/>
      <c r="P156" s="3"/>
      <c r="Q156" s="3"/>
      <c r="R156" s="3"/>
      <c r="S156" s="3"/>
      <c r="T156" s="3"/>
      <c r="U156" s="3"/>
      <c r="V156" s="3"/>
      <c r="W156" s="3"/>
      <c r="X156" s="3"/>
      <c r="Y156" s="3"/>
    </row>
    <row r="157">
      <c r="A157" s="6" t="str">
        <f>IFERROR(__xludf.DUMMYFUNCTION("""COMPUTED_VALUE"""),"IMAGE QUALITY OUTSOURCING S.A.S.")</f>
        <v>IMAGE QUALITY OUTSOURCING S.A.S.</v>
      </c>
      <c r="B157" s="6" t="str">
        <f>IFERROR(__xludf.DUMMYFUNCTION("""COMPUTED_VALUE"""),"Ciclo profesional")</f>
        <v>Ciclo profesional</v>
      </c>
      <c r="C157" s="6" t="str">
        <f>IFERROR(__xludf.DUMMYFUNCTION("""COMPUTED_VALUE"""),"Tecnología en Mercadeo y Diseño Publicitario, Tecnología en Soporte de Telecomunicaciones, Tecnología en Desarrollo Informático")</f>
        <v>Tecnología en Mercadeo y Diseño Publicitario, Tecnología en Soporte de Telecomunicaciones, Tecnología en Desarrollo Informático</v>
      </c>
      <c r="D157" s="6" t="str">
        <f>IFERROR(__xludf.DUMMYFUNCTION("""COMPUTED_VALUE"""),"Formación académica: Estudiantes de últimos semestres en Ingeniería Electrónica, Estadística, Ingeniería de Sistemas, Ciencia de Datos o carreras afines.
Área de interés: Desarrollo profesional enfocado en Analítica e Inteligencia Empresarial (BI).
Compet"&amp;"encias técnicas:
Lenguajes y herramientas: Python, R, SQL, C++, JavaScript y Visual Basic.
Análisis de datos: Manejo de herramientas ofimáticas avanzadas, capacidad para extracción, transformación y carga de datos (ETL) y análisis exploratorio de datos (E"&amp;"DA).
Visualización: Documentación y soporte en el desarrollo de tableros de control (dashboards).
Funciones:
Levantamiento de requerimientos y definiciones técnicas para la construcción de modelos analíticos.
Ejecución de procesos de extracción, transform"&amp;"ación y carga (ETL) de datos.
Análisis exploratorio de datos (EDA) para evaluar la calidad, consistencia e integridad de las fuentes de información.
Apoyo en el diseño, ajuste y evaluación de modelos predictivos en Python y R.
Elaboración de informes y do"&amp;"cumentación de dashboards para la toma de decisiones estratégicas.
Propuesta e implementación de iniciativas analíticas orientadas a la optimización de procesos organizacionales.
Soporte en tareas transversales y proyectos estratégicos del equipo.
Condici"&amp;"ones:
Tipo de contrato: Contrato de aprendizaje (término fijo, duración mínima de 6 meses a 1 año).
Modalidad: Híbrida (predominio de trabajo remoto) con flexibilidad horaria de lunes a viernes.
Remuneración: Salario Mínimo Legal Vigente (SMLV) + prestaci"&amp;"ones de ley + auxilio de transporte y/o conectividad.
")</f>
        <v>Formación académica: Estudiantes de últimos semestres en Ingeniería Electrónica, Estadística, Ingeniería de Sistemas, Ciencia de Datos o carreras afines.
Área de interés: Desarrollo profesional enfocado en Analítica e Inteligencia Empresarial (BI).
Competencias técnicas:
Lenguajes y herramientas: Python, R, SQL, C++, JavaScript y Visual Basic.
Análisis de datos: Manejo de herramientas ofimáticas avanzadas, capacidad para extracción, transformación y carga de datos (ETL) y análisis exploratorio de datos (EDA).
Visualización: Documentación y soporte en el desarrollo de tableros de control (dashboards).
Funciones:
Levantamiento de requerimientos y definiciones técnicas para la construcción de modelos analíticos.
Ejecución de procesos de extracción, transformación y carga (ETL) de datos.
Análisis exploratorio de datos (EDA) para evaluar la calidad, consistencia e integridad de las fuentes de información.
Apoyo en el diseño, ajuste y evaluación de modelos predictivos en Python y R.
Elaboración de informes y documentación de dashboards para la toma de decisiones estratégicas.
Propuesta e implementación de iniciativas analíticas orientadas a la optimización de procesos organizacionales.
Soporte en tareas transversales y proyectos estratégicos del equipo.
Condiciones:
Tipo de contrato: Contrato de aprendizaje (término fijo, duración mínima de 6 meses a 1 año).
Modalidad: Híbrida (predominio de trabajo remoto) con flexibilidad horaria de lunes a viernes.
Remuneración: Salario Mínimo Legal Vigente (SMLV) + prestaciones de ley + auxilio de transporte y/o conectividad.
</v>
      </c>
      <c r="E157" s="7" t="str">
        <f>IFERROR(__xludf.DUMMYFUNCTION("""COMPUTED_VALUE"""),"Si")</f>
        <v>Si</v>
      </c>
      <c r="F157" s="6" t="str">
        <f>IFERROR(__xludf.DUMMYFUNCTION("""COMPUTED_VALUE"""),"Bogotá (Chia, Cota, Sopó, Cajicá y alrededores)")</f>
        <v>Bogotá (Chia, Cota, Sopó, Cajicá y alrededores)</v>
      </c>
      <c r="G157" s="6" t="str">
        <f>IFERROR(__xludf.DUMMYFUNCTION("""COMPUTED_VALUE"""),"Derecho, Ingeniería Electrónica, Ingeniería de Sistemas, Estadística")</f>
        <v>Derecho, Ingeniería Electrónica, Ingeniería de Sistemas, Estadística</v>
      </c>
      <c r="H157" s="6" t="str">
        <f>IFERROR(__xludf.DUMMYFUNCTION("""COMPUTED_VALUE"""),"1 SMMLV")</f>
        <v>1 SMMLV</v>
      </c>
      <c r="I157" s="8">
        <f>IFERROR(__xludf.DUMMYFUNCTION("""COMPUTED_VALUE"""),46289.0)</f>
        <v>46289</v>
      </c>
      <c r="J157" s="8">
        <f>IFERROR(__xludf.DUMMYFUNCTION("""COMPUTED_VALUE"""),46356.0)</f>
        <v>46356</v>
      </c>
      <c r="K157" s="7" t="str">
        <f>IFERROR(__xludf.DUMMYFUNCTION("""COMPUTED_VALUE"""),"paula.aguirre@iq-online.com")</f>
        <v>paula.aguirre@iq-online.com</v>
      </c>
      <c r="L157" s="3"/>
      <c r="M157" s="3"/>
      <c r="N157" s="3"/>
      <c r="O157" s="3"/>
      <c r="P157" s="3"/>
      <c r="Q157" s="3"/>
      <c r="R157" s="3"/>
      <c r="S157" s="3"/>
      <c r="T157" s="3"/>
      <c r="U157" s="3"/>
      <c r="V157" s="3"/>
      <c r="W157" s="3"/>
      <c r="X157" s="3"/>
      <c r="Y157" s="3"/>
    </row>
    <row r="158">
      <c r="A158" s="6" t="str">
        <f>IFERROR(__xludf.DUMMYFUNCTION("""COMPUTED_VALUE"""),"GIG LATAM")</f>
        <v>GIG LATAM</v>
      </c>
      <c r="B158" s="6" t="str">
        <f>IFERROR(__xludf.DUMMYFUNCTION("""COMPUTED_VALUE"""),"Ciclo tecnológico")</f>
        <v>Ciclo tecnológico</v>
      </c>
      <c r="C158" s="6" t="str">
        <f>IFERROR(__xludf.DUMMYFUNCTION("""COMPUTED_VALUE"""),"Tecnología en Automatización y Robótica Industrial, Tecnología en Soporte de Telecomunicaciones, Tecnología en Desarrollo Informático")</f>
        <v>Tecnología en Automatización y Robótica Industrial, Tecnología en Soporte de Telecomunicaciones, Tecnología en Desarrollo Informático</v>
      </c>
      <c r="D158" s="6" t="str">
        <f>IFERROR(__xludf.DUMMYFUNCTION("""COMPUTED_VALUE"""),"GIG LATAM S.A.S., empresa dedicada al análisis, procesamiento y gestión de información, requiere para su equipo de trabajo hombres y mujeres para desempeñar el cargo de Practicante de Sistemas, interesados en realizar su etapa productiva y fortalecer sus "&amp;"conocimientos en el área de tecnología.
💻 Cargo: Practicante de Sistemas
📌 Área: Sistemas / Tecnología
📋 Enfoque de la práctica: Apoyo en soporte técnico a usuarios, mantenimiento y configuración de equipos, gestión de herramientas tecnológicas, atenc"&amp;"ión de requerimientos y demás actividades relacionadas con el área de Sistemas.
📄 Tipo de contrato: Contrato de aprendizaje – etapa productiva.
⏰ Horario: Lunes a viernes, jornada laboral de GIG LATAM.
📍 Lugar de trabajo: Bogotá – modalidad híbrida.
Bu"&amp;"scamos estudiantes comprometidos, con disposición para aprender, trabajar en equipo y poner en práctica sus conocimientos en un ambiente dinámico. 💚")</f>
        <v>GIG LATAM S.A.S., empresa dedicada al análisis, procesamiento y gestión de información, requiere para su equipo de trabajo hombres y mujeres para desempeñar el cargo de Practicante de Sistemas, interesados en realizar su etapa productiva y fortalecer sus conocimientos en el área de tecnología.
💻 Cargo: Practicante de Sistemas
📌 Área: Sistemas / Tecnología
📋 Enfoque de la práctica: Apoyo en soporte técnico a usuarios, mantenimiento y configuración de equipos, gestión de herramientas tecnológicas, atención de requerimientos y demás actividades relacionadas con el área de Sistemas.
📄 Tipo de contrato: Contrato de aprendizaje – etapa productiva.
⏰ Horario: Lunes a viernes, jornada laboral de GIG LATAM.
📍 Lugar de trabajo: Bogotá – modalidad híbrida.
Buscamos estudiantes comprometidos, con disposición para aprender, trabajar en equipo y poner en práctica sus conocimientos en un ambiente dinámico. 💚</v>
      </c>
      <c r="E158" s="7" t="str">
        <f>IFERROR(__xludf.DUMMYFUNCTION("""COMPUTED_VALUE"""),"Si")</f>
        <v>Si</v>
      </c>
      <c r="F158" s="6" t="str">
        <f>IFERROR(__xludf.DUMMYFUNCTION("""COMPUTED_VALUE"""),"Bogotá (Chia, Cota, Sopó, Cajicá y alrededores)")</f>
        <v>Bogotá (Chia, Cota, Sopó, Cajicá y alrededores)</v>
      </c>
      <c r="G158" s="6" t="str">
        <f>IFERROR(__xludf.DUMMYFUNCTION("""COMPUTED_VALUE"""),"Ingeniería de Sistemas")</f>
        <v>Ingeniería de Sistemas</v>
      </c>
      <c r="H158" s="6" t="str">
        <f>IFERROR(__xludf.DUMMYFUNCTION("""COMPUTED_VALUE"""),"1 SMMLV")</f>
        <v>1 SMMLV</v>
      </c>
      <c r="I158" s="8">
        <f>IFERROR(__xludf.DUMMYFUNCTION("""COMPUTED_VALUE"""),46289.0)</f>
        <v>46289</v>
      </c>
      <c r="J158" s="8">
        <f>IFERROR(__xludf.DUMMYFUNCTION("""COMPUTED_VALUE"""),46386.0)</f>
        <v>46386</v>
      </c>
      <c r="K158" s="7" t="str">
        <f>IFERROR(__xludf.DUMMYFUNCTION("""COMPUTED_VALUE"""),"m.ricaurte@giglatam.com")</f>
        <v>m.ricaurte@giglatam.com</v>
      </c>
      <c r="L158" s="3"/>
      <c r="M158" s="3"/>
      <c r="N158" s="3"/>
      <c r="O158" s="3"/>
      <c r="P158" s="3"/>
      <c r="Q158" s="3"/>
      <c r="R158" s="3"/>
      <c r="S158" s="3"/>
      <c r="T158" s="3"/>
      <c r="U158" s="3"/>
      <c r="V158" s="3"/>
      <c r="W158" s="3"/>
      <c r="X158" s="3"/>
      <c r="Y158" s="3"/>
    </row>
    <row r="159">
      <c r="A159" s="6" t="str">
        <f>IFERROR(__xludf.DUMMYFUNCTION("""COMPUTED_VALUE"""),"DOGAMA")</f>
        <v>DOGAMA</v>
      </c>
      <c r="B159" s="6" t="str">
        <f>IFERROR(__xludf.DUMMYFUNCTION("""COMPUTED_VALUE"""),"Ciclo tecnológico")</f>
        <v>Ciclo tecnológico</v>
      </c>
      <c r="C159" s="6" t="str">
        <f>IFERROR(__xludf.DUMMYFUNCTION("""COMPUTED_VALUE"""),"Tecnología en Gestión de Procesos Industriales")</f>
        <v>Tecnología en Gestión de Procesos Industriales</v>
      </c>
      <c r="D159" s="6" t="str">
        <f>IFERROR(__xludf.DUMMYFUNCTION("""COMPUTED_VALUE"""),"1	Apoyar a los proveedores en la elaboración de planes de mejoramiento conforme a las evaluaciones de proceso					
2	Generar idas y actividades de intervención con los proveedores para ayudarles a elevar la puntuación obtenida en las autoevaluaciones en l"&amp;"os temas de producción y calidad					
3	Construcción de material a modo de entregables para los proveedores de manera que les facilite la mejora continua , la estandariazación de procesos y los métodos de trabajo, entre otros temas de calidad y productivi"&amp;"dad					
4	Apoyar la gestión del area en labores administrativas como comunicación directa con los proveedores, elaboración de comunicados y					")</f>
        <v>1	Apoyar a los proveedores en la elaboración de planes de mejoramiento conforme a las evaluaciones de proceso					
2	Generar idas y actividades de intervención con los proveedores para ayudarles a elevar la puntuación obtenida en las autoevaluaciones en los temas de producción y calidad					
3	Construcción de material a modo de entregables para los proveedores de manera que les facilite la mejora continua , la estandariazación de procesos y los métodos de trabajo, entre otros temas de calidad y productividad					
4	Apoyar la gestión del area en labores administrativas como comunicación directa con los proveedores, elaboración de comunicados y					</v>
      </c>
      <c r="E159" s="7" t="str">
        <f>IFERROR(__xludf.DUMMYFUNCTION("""COMPUTED_VALUE"""),"No")</f>
        <v>No</v>
      </c>
      <c r="F159" s="6" t="str">
        <f>IFERROR(__xludf.DUMMYFUNCTION("""COMPUTED_VALUE"""),"Medellín")</f>
        <v>Medellín</v>
      </c>
      <c r="G159" s="6" t="str">
        <f>IFERROR(__xludf.DUMMYFUNCTION("""COMPUTED_VALUE"""),"Contaduría Pública, Derecho, Ingeniería Industrial, Ingeniería Ambiental")</f>
        <v>Contaduría Pública, Derecho, Ingeniería Industrial, Ingeniería Ambiental</v>
      </c>
      <c r="H159" s="6" t="str">
        <f>IFERROR(__xludf.DUMMYFUNCTION("""COMPUTED_VALUE"""),"1 SMMLV")</f>
        <v>1 SMMLV</v>
      </c>
      <c r="I159" s="8">
        <f>IFERROR(__xludf.DUMMYFUNCTION("""COMPUTED_VALUE"""),46289.0)</f>
        <v>46289</v>
      </c>
      <c r="J159" s="8">
        <f>IFERROR(__xludf.DUMMYFUNCTION("""COMPUTED_VALUE"""),46294.0)</f>
        <v>46294</v>
      </c>
      <c r="K159" s="7" t="str">
        <f>IFERROR(__xludf.DUMMYFUNCTION("""COMPUTED_VALUE"""),"vanesa.restrepo@gco.com.co")</f>
        <v>vanesa.restrepo@gco.com.co</v>
      </c>
      <c r="L159" s="3"/>
      <c r="M159" s="3"/>
      <c r="N159" s="3"/>
      <c r="O159" s="3"/>
      <c r="P159" s="3"/>
      <c r="Q159" s="3"/>
      <c r="R159" s="3"/>
      <c r="S159" s="3"/>
      <c r="T159" s="3"/>
      <c r="U159" s="3"/>
      <c r="V159" s="3"/>
      <c r="W159" s="3"/>
      <c r="X159" s="3"/>
      <c r="Y159" s="3"/>
    </row>
    <row r="160">
      <c r="A160" s="6" t="str">
        <f>IFERROR(__xludf.DUMMYFUNCTION("""COMPUTED_VALUE"""),"ROPA ÍNTIMA CAROL SAS")</f>
        <v>ROPA ÍNTIMA CAROL SAS</v>
      </c>
      <c r="B160" s="6" t="str">
        <f>IFERROR(__xludf.DUMMYFUNCTION("""COMPUTED_VALUE"""),"Ciclo tecnológico, Ciclo profesional")</f>
        <v>Ciclo tecnológico, Ciclo profesional</v>
      </c>
      <c r="C160" s="6" t="str">
        <f>IFERROR(__xludf.DUMMYFUNCTION("""COMPUTED_VALUE"""),"Tecnología en Gestión de Procesos Industriales")</f>
        <v>Tecnología en Gestión de Procesos Industriales</v>
      </c>
      <c r="D160" s="6" t="str">
        <f>IFERROR(__xludf.DUMMYFUNCTION("""COMPUTED_VALUE"""),"Ropa Íntima CAROL S.A.S. es una empresa colombiana con una trayectoria de aproximadamente 25 años en el mercado, dedicada a la fabricación y comercialización de ropa íntima, vestidos de baño y pijamas.
Requerimos para nuestro equipo de trabajo un practic"&amp;"ante en la especialidad de Tecnólogo o Universitario en procesos o ingenierías industriales.")</f>
        <v>Ropa Íntima CAROL S.A.S. es una empresa colombiana con una trayectoria de aproximadamente 25 años en el mercado, dedicada a la fabricación y comercialización de ropa íntima, vestidos de baño y pijamas.
Requerimos para nuestro equipo de trabajo un practicante en la especialidad de Tecnólogo o Universitario en procesos o ingenierías industriales.</v>
      </c>
      <c r="E160" s="7" t="str">
        <f>IFERROR(__xludf.DUMMYFUNCTION("""COMPUTED_VALUE"""),"No")</f>
        <v>No</v>
      </c>
      <c r="F160" s="6" t="str">
        <f>IFERROR(__xludf.DUMMYFUNCTION("""COMPUTED_VALUE"""),"Bogotá (Chia, Cota, Sopó, Cajicá y alrededores)")</f>
        <v>Bogotá (Chia, Cota, Sopó, Cajicá y alrededores)</v>
      </c>
      <c r="G160" s="6" t="str">
        <f>IFERROR(__xludf.DUMMYFUNCTION("""COMPUTED_VALUE"""),"Ingeniería Industrial")</f>
        <v>Ingeniería Industrial</v>
      </c>
      <c r="H160" s="6" t="str">
        <f>IFERROR(__xludf.DUMMYFUNCTION("""COMPUTED_VALUE"""),"1 SMMLV")</f>
        <v>1 SMMLV</v>
      </c>
      <c r="I160" s="8">
        <f>IFERROR(__xludf.DUMMYFUNCTION("""COMPUTED_VALUE"""),46289.0)</f>
        <v>46289</v>
      </c>
      <c r="J160" s="8">
        <f>IFERROR(__xludf.DUMMYFUNCTION("""COMPUTED_VALUE"""),46305.0)</f>
        <v>46305</v>
      </c>
      <c r="K160" s="7" t="str">
        <f>IFERROR(__xludf.DUMMYFUNCTION("""COMPUTED_VALUE"""),"auxiliarrecursoshumanos@ropaintimacarol.com")</f>
        <v>auxiliarrecursoshumanos@ropaintimacarol.com</v>
      </c>
      <c r="L160" s="3"/>
      <c r="M160" s="3"/>
      <c r="N160" s="3"/>
      <c r="O160" s="3"/>
      <c r="P160" s="3"/>
      <c r="Q160" s="3"/>
      <c r="R160" s="3"/>
      <c r="S160" s="3"/>
      <c r="T160" s="3"/>
      <c r="U160" s="3"/>
      <c r="V160" s="3"/>
      <c r="W160" s="3"/>
      <c r="X160" s="3"/>
      <c r="Y160" s="3"/>
    </row>
    <row r="161">
      <c r="A161" s="6" t="str">
        <f>IFERROR(__xludf.DUMMYFUNCTION("""COMPUTED_VALUE"""),"COLOMBIA ESL")</f>
        <v>COLOMBIA ESL</v>
      </c>
      <c r="B161" s="6" t="str">
        <f>IFERROR(__xludf.DUMMYFUNCTION("""COMPUTED_VALUE"""),"Ciclo tecnológico, Ciclo profesional")</f>
        <v>Ciclo tecnológico, Ciclo profesional</v>
      </c>
      <c r="C161" s="6" t="str">
        <f>IFERROR(__xludf.DUMMYFUNCTION("""COMPUTED_VALUE"""),"No aplica")</f>
        <v>No aplica</v>
      </c>
      <c r="D161" s="6" t="str">
        <f>IFERROR(__xludf.DUMMYFUNCTION("""COMPUTED_VALUE"""),"Empresa de educación")</f>
        <v>Empresa de educación</v>
      </c>
      <c r="E161" s="7" t="str">
        <f>IFERROR(__xludf.DUMMYFUNCTION("""COMPUTED_VALUE"""),"Si")</f>
        <v>Si</v>
      </c>
      <c r="F161" s="6" t="str">
        <f>IFERROR(__xludf.DUMMYFUNCTION("""COMPUTED_VALUE"""),"Bogotá (Chia, Cota, Sopó, Cajicá y alrededores)")</f>
        <v>Bogotá (Chia, Cota, Sopó, Cajicá y alrededores)</v>
      </c>
      <c r="G161" s="6" t="str">
        <f>IFERROR(__xludf.DUMMYFUNCTION("""COMPUTED_VALUE"""),"Administración de Empresas Virtual")</f>
        <v>Administración de Empresas Virtual</v>
      </c>
      <c r="H161" s="6" t="str">
        <f>IFERROR(__xludf.DUMMYFUNCTION("""COMPUTED_VALUE"""),"1 SMMLV")</f>
        <v>1 SMMLV</v>
      </c>
      <c r="I161" s="8">
        <f>IFERROR(__xludf.DUMMYFUNCTION("""COMPUTED_VALUE"""),46289.0)</f>
        <v>46289</v>
      </c>
      <c r="J161" s="8">
        <f>IFERROR(__xludf.DUMMYFUNCTION("""COMPUTED_VALUE"""),46325.0)</f>
        <v>46325</v>
      </c>
      <c r="K161" s="7" t="str">
        <f>IFERROR(__xludf.DUMMYFUNCTION("""COMPUTED_VALUE"""),"nidia.fonseca@colombiaesl.com")</f>
        <v>nidia.fonseca@colombiaesl.com</v>
      </c>
      <c r="L161" s="3"/>
      <c r="M161" s="3"/>
      <c r="N161" s="3"/>
      <c r="O161" s="3"/>
      <c r="P161" s="3"/>
      <c r="Q161" s="3"/>
      <c r="R161" s="3"/>
      <c r="S161" s="3"/>
      <c r="T161" s="3"/>
      <c r="U161" s="3"/>
      <c r="V161" s="3"/>
      <c r="W161" s="3"/>
      <c r="X161" s="3"/>
      <c r="Y161" s="3"/>
    </row>
    <row r="162">
      <c r="A162" s="6" t="str">
        <f>IFERROR(__xludf.DUMMYFUNCTION("""COMPUTED_VALUE"""),"HEIMCORE SAS")</f>
        <v>HEIMCORE SAS</v>
      </c>
      <c r="B162" s="6" t="str">
        <f>IFERROR(__xludf.DUMMYFUNCTION("""COMPUTED_VALUE"""),"Ciclo tecnológico, Ciclo profesional")</f>
        <v>Ciclo tecnológico, Ciclo profesional</v>
      </c>
      <c r="C162" s="6" t="str">
        <f>IFERROR(__xludf.DUMMYFUNCTION("""COMPUTED_VALUE"""),"Tecnología en Gestión Contable")</f>
        <v>Tecnología en Gestión Contable</v>
      </c>
      <c r="D162" s="6" t="str">
        <f>IFERROR(__xludf.DUMMYFUNCTION("""COMPUTED_VALUE"""),"APRENDIZ ADMINISTRATIVO-LOGISTICO")</f>
        <v>APRENDIZ ADMINISTRATIVO-LOGISTICO</v>
      </c>
      <c r="E162" s="7" t="str">
        <f>IFERROR(__xludf.DUMMYFUNCTION("""COMPUTED_VALUE"""),"Si")</f>
        <v>Si</v>
      </c>
      <c r="F162" s="6" t="str">
        <f>IFERROR(__xludf.DUMMYFUNCTION("""COMPUTED_VALUE"""),"Bogotá (Chia, Cota, Sopó, Cajicá y alrededores)")</f>
        <v>Bogotá (Chia, Cota, Sopó, Cajicá y alrededores)</v>
      </c>
      <c r="G162" s="6" t="str">
        <f>IFERROR(__xludf.DUMMYFUNCTION("""COMPUTED_VALUE"""),"Administración de Empresas Virtual")</f>
        <v>Administración de Empresas Virtual</v>
      </c>
      <c r="H162" s="6" t="str">
        <f>IFERROR(__xludf.DUMMYFUNCTION("""COMPUTED_VALUE"""),"1 SMMLV")</f>
        <v>1 SMMLV</v>
      </c>
      <c r="I162" s="8">
        <f>IFERROR(__xludf.DUMMYFUNCTION("""COMPUTED_VALUE"""),46289.0)</f>
        <v>46289</v>
      </c>
      <c r="J162" s="8">
        <f>IFERROR(__xludf.DUMMYFUNCTION("""COMPUTED_VALUE"""),46302.0)</f>
        <v>46302</v>
      </c>
      <c r="K162" s="7" t="str">
        <f>IFERROR(__xludf.DUMMYFUNCTION("""COMPUTED_VALUE"""),"jmojica@heimcore.com.co")</f>
        <v>jmojica@heimcore.com.co</v>
      </c>
      <c r="L162" s="3"/>
      <c r="M162" s="3"/>
      <c r="N162" s="3"/>
      <c r="O162" s="3"/>
      <c r="P162" s="3"/>
      <c r="Q162" s="3"/>
      <c r="R162" s="3"/>
      <c r="S162" s="3"/>
      <c r="T162" s="3"/>
      <c r="U162" s="3"/>
      <c r="V162" s="3"/>
      <c r="W162" s="3"/>
      <c r="X162" s="3"/>
      <c r="Y162" s="3"/>
    </row>
    <row r="163">
      <c r="A163" s="6" t="str">
        <f>IFERROR(__xludf.DUMMYFUNCTION("""COMPUTED_VALUE"""),"WSP SERVICES SAS ")</f>
        <v>WSP SERVICES SAS </v>
      </c>
      <c r="B163" s="6" t="str">
        <f>IFERROR(__xludf.DUMMYFUNCTION("""COMPUTED_VALUE"""),"Ciclo profesional")</f>
        <v>Ciclo profesional</v>
      </c>
      <c r="C163" s="6" t="str">
        <f>IFERROR(__xludf.DUMMYFUNCTION("""COMPUTED_VALUE"""),"Tecnología en Mecánica Industrial, Tecnología en Mecánica Automotriz, Tecnología en Gestión de Procesos Industriales, Tecnología en Electrónica Industrial, Tecnología en Desarrollo Informático, Tecnología en Gestión Ambiental")</f>
        <v>Tecnología en Mecánica Industrial, Tecnología en Mecánica Automotriz, Tecnología en Gestión de Procesos Industriales, Tecnología en Electrónica Industrial, Tecnología en Desarrollo Informático, Tecnología en Gestión Ambiental</v>
      </c>
      <c r="D163" s="6" t="str">
        <f>IFERROR(__xludf.DUMMYFUNCTION("""COMPUTED_VALUE"""),"contrato a término indefinido, tenemos varias vacantes de ingeniería enfocada en transportes y consultoría ")</f>
        <v>contrato a término indefinido, tenemos varias vacantes de ingeniería enfocada en transportes y consultoría </v>
      </c>
      <c r="E163" s="7" t="str">
        <f>IFERROR(__xludf.DUMMYFUNCTION("""COMPUTED_VALUE"""),"Si")</f>
        <v>Si</v>
      </c>
      <c r="F163" s="6" t="str">
        <f>IFERROR(__xludf.DUMMYFUNCTION("""COMPUTED_VALUE"""),"Bogotá (Chia, Cota, Sopó, Cajicá y alrededores)")</f>
        <v>Bogotá (Chia, Cota, Sopó, Cajicá y alrededores)</v>
      </c>
      <c r="G163" s="6" t="str">
        <f>IFERROR(__xludf.DUMMYFUNCTION("""COMPUTED_VALUE"""),"Estadística")</f>
        <v>Estadística</v>
      </c>
      <c r="H163" s="6" t="str">
        <f>IFERROR(__xludf.DUMMYFUNCTION("""COMPUTED_VALUE"""),"De 3 SMMLV a 4 SMMLV")</f>
        <v>De 3 SMMLV a 4 SMMLV</v>
      </c>
      <c r="I163" s="8">
        <f>IFERROR(__xludf.DUMMYFUNCTION("""COMPUTED_VALUE"""),46291.0)</f>
        <v>46291</v>
      </c>
      <c r="J163" s="8">
        <f>IFERROR(__xludf.DUMMYFUNCTION("""COMPUTED_VALUE"""),46321.0)</f>
        <v>46321</v>
      </c>
      <c r="K163" s="7" t="str">
        <f>IFERROR(__xludf.DUMMYFUNCTION("""COMPUTED_VALUE"""),"lauradaniela.hernandez@wsp.com")</f>
        <v>lauradaniela.hernandez@wsp.com</v>
      </c>
      <c r="L163" s="3"/>
      <c r="M163" s="3"/>
      <c r="N163" s="3"/>
      <c r="O163" s="3"/>
      <c r="P163" s="3"/>
      <c r="Q163" s="3"/>
      <c r="R163" s="3"/>
      <c r="S163" s="3"/>
      <c r="T163" s="3"/>
      <c r="U163" s="3"/>
      <c r="V163" s="3"/>
      <c r="W163" s="3"/>
      <c r="X163" s="3"/>
      <c r="Y163" s="3"/>
    </row>
    <row r="164">
      <c r="A164" s="6"/>
      <c r="B164" s="6"/>
      <c r="C164" s="6"/>
      <c r="D164" s="6"/>
      <c r="E164" s="7"/>
      <c r="F164" s="6"/>
      <c r="G164" s="6"/>
      <c r="H164" s="6"/>
      <c r="I164" s="7"/>
      <c r="J164" s="7"/>
      <c r="K164" s="7"/>
      <c r="L164" s="3"/>
      <c r="M164" s="3"/>
      <c r="N164" s="3"/>
      <c r="O164" s="3"/>
      <c r="P164" s="3"/>
      <c r="Q164" s="3"/>
      <c r="R164" s="3"/>
      <c r="S164" s="3"/>
      <c r="T164" s="3"/>
      <c r="U164" s="3"/>
      <c r="V164" s="3"/>
      <c r="W164" s="3"/>
      <c r="X164" s="3"/>
      <c r="Y164" s="3"/>
    </row>
    <row r="165">
      <c r="A165" s="6"/>
      <c r="B165" s="6"/>
      <c r="C165" s="6"/>
      <c r="D165" s="6"/>
      <c r="E165" s="7"/>
      <c r="F165" s="6"/>
      <c r="G165" s="6"/>
      <c r="H165" s="6"/>
      <c r="I165" s="7"/>
      <c r="J165" s="7"/>
      <c r="K165" s="7"/>
      <c r="L165" s="3"/>
      <c r="M165" s="3"/>
      <c r="N165" s="3"/>
      <c r="O165" s="3"/>
      <c r="P165" s="3"/>
      <c r="Q165" s="3"/>
      <c r="R165" s="3"/>
      <c r="S165" s="3"/>
      <c r="T165" s="3"/>
      <c r="U165" s="3"/>
      <c r="V165" s="3"/>
      <c r="W165" s="3"/>
      <c r="X165" s="3"/>
      <c r="Y165" s="3"/>
    </row>
    <row r="166">
      <c r="A166" s="6"/>
      <c r="B166" s="6"/>
      <c r="C166" s="6"/>
      <c r="D166" s="6"/>
      <c r="E166" s="7"/>
      <c r="F166" s="6"/>
      <c r="G166" s="6"/>
      <c r="H166" s="6"/>
      <c r="I166" s="7"/>
      <c r="J166" s="7"/>
      <c r="K166" s="7"/>
      <c r="L166" s="3"/>
      <c r="M166" s="3"/>
      <c r="N166" s="3"/>
      <c r="O166" s="3"/>
      <c r="P166" s="3"/>
      <c r="Q166" s="3"/>
      <c r="R166" s="3"/>
      <c r="S166" s="3"/>
      <c r="T166" s="3"/>
      <c r="U166" s="3"/>
      <c r="V166" s="3"/>
      <c r="W166" s="3"/>
      <c r="X166" s="3"/>
      <c r="Y166" s="3"/>
    </row>
    <row r="167">
      <c r="A167" s="6"/>
      <c r="B167" s="6"/>
      <c r="C167" s="6"/>
      <c r="D167" s="6"/>
      <c r="E167" s="7"/>
      <c r="F167" s="6"/>
      <c r="G167" s="6"/>
      <c r="H167" s="6"/>
      <c r="I167" s="7"/>
      <c r="J167" s="7"/>
      <c r="K167" s="7"/>
      <c r="L167" s="3"/>
      <c r="M167" s="3"/>
      <c r="N167" s="3"/>
      <c r="O167" s="3"/>
      <c r="P167" s="3"/>
      <c r="Q167" s="3"/>
      <c r="R167" s="3"/>
      <c r="S167" s="3"/>
      <c r="T167" s="3"/>
      <c r="U167" s="3"/>
      <c r="V167" s="3"/>
      <c r="W167" s="3"/>
      <c r="X167" s="3"/>
      <c r="Y167" s="3"/>
    </row>
    <row r="168">
      <c r="A168" s="6"/>
      <c r="B168" s="6"/>
      <c r="C168" s="6"/>
      <c r="D168" s="6"/>
      <c r="E168" s="7"/>
      <c r="F168" s="6"/>
      <c r="G168" s="6"/>
      <c r="H168" s="6"/>
      <c r="I168" s="7"/>
      <c r="J168" s="7"/>
      <c r="K168" s="7"/>
      <c r="L168" s="3"/>
      <c r="M168" s="3"/>
      <c r="N168" s="3"/>
      <c r="O168" s="3"/>
      <c r="P168" s="3"/>
      <c r="Q168" s="3"/>
      <c r="R168" s="3"/>
      <c r="S168" s="3"/>
      <c r="T168" s="3"/>
      <c r="U168" s="3"/>
      <c r="V168" s="3"/>
      <c r="W168" s="3"/>
      <c r="X168" s="3"/>
      <c r="Y168" s="3"/>
    </row>
    <row r="169">
      <c r="A169" s="6"/>
      <c r="B169" s="6"/>
      <c r="C169" s="6"/>
      <c r="D169" s="6"/>
      <c r="E169" s="7"/>
      <c r="F169" s="6"/>
      <c r="G169" s="6"/>
      <c r="H169" s="6"/>
      <c r="I169" s="7"/>
      <c r="J169" s="7"/>
      <c r="K169" s="7"/>
      <c r="L169" s="3"/>
      <c r="M169" s="3"/>
      <c r="N169" s="3"/>
      <c r="O169" s="3"/>
      <c r="P169" s="3"/>
      <c r="Q169" s="3"/>
      <c r="R169" s="3"/>
      <c r="S169" s="3"/>
      <c r="T169" s="3"/>
      <c r="U169" s="3"/>
      <c r="V169" s="3"/>
      <c r="W169" s="3"/>
      <c r="X169" s="3"/>
      <c r="Y169" s="3"/>
    </row>
    <row r="170">
      <c r="A170" s="6"/>
      <c r="B170" s="6"/>
      <c r="C170" s="6"/>
      <c r="D170" s="6"/>
      <c r="E170" s="7"/>
      <c r="F170" s="6"/>
      <c r="G170" s="6"/>
      <c r="H170" s="6"/>
      <c r="I170" s="7"/>
      <c r="J170" s="7"/>
      <c r="K170" s="7"/>
      <c r="L170" s="3"/>
      <c r="M170" s="3"/>
      <c r="N170" s="3"/>
      <c r="O170" s="3"/>
      <c r="P170" s="3"/>
      <c r="Q170" s="3"/>
      <c r="R170" s="3"/>
      <c r="S170" s="3"/>
      <c r="T170" s="3"/>
      <c r="U170" s="3"/>
      <c r="V170" s="3"/>
      <c r="W170" s="3"/>
      <c r="X170" s="3"/>
      <c r="Y170" s="3"/>
    </row>
    <row r="171">
      <c r="A171" s="6"/>
      <c r="B171" s="6"/>
      <c r="C171" s="6"/>
      <c r="D171" s="6"/>
      <c r="E171" s="7"/>
      <c r="F171" s="6"/>
      <c r="G171" s="6"/>
      <c r="H171" s="6"/>
      <c r="I171" s="7"/>
      <c r="J171" s="7"/>
      <c r="K171" s="7"/>
      <c r="L171" s="3"/>
      <c r="M171" s="3"/>
      <c r="N171" s="3"/>
      <c r="O171" s="3"/>
      <c r="P171" s="3"/>
      <c r="Q171" s="3"/>
      <c r="R171" s="3"/>
      <c r="S171" s="3"/>
      <c r="T171" s="3"/>
      <c r="U171" s="3"/>
      <c r="V171" s="3"/>
      <c r="W171" s="3"/>
      <c r="X171" s="3"/>
      <c r="Y171" s="3"/>
    </row>
    <row r="172">
      <c r="A172" s="6"/>
      <c r="B172" s="6"/>
      <c r="C172" s="6"/>
      <c r="D172" s="6"/>
      <c r="E172" s="7"/>
      <c r="F172" s="6"/>
      <c r="G172" s="6"/>
      <c r="H172" s="6"/>
      <c r="I172" s="7"/>
      <c r="J172" s="7"/>
      <c r="K172" s="7"/>
      <c r="L172" s="3"/>
      <c r="M172" s="3"/>
      <c r="N172" s="3"/>
      <c r="O172" s="3"/>
      <c r="P172" s="3"/>
      <c r="Q172" s="3"/>
      <c r="R172" s="3"/>
      <c r="S172" s="3"/>
      <c r="T172" s="3"/>
      <c r="U172" s="3"/>
      <c r="V172" s="3"/>
      <c r="W172" s="3"/>
      <c r="X172" s="3"/>
      <c r="Y172" s="3"/>
    </row>
    <row r="173">
      <c r="A173" s="6"/>
      <c r="B173" s="6"/>
      <c r="C173" s="6"/>
      <c r="D173" s="6"/>
      <c r="E173" s="7"/>
      <c r="F173" s="6"/>
      <c r="G173" s="6"/>
      <c r="H173" s="6"/>
      <c r="I173" s="7"/>
      <c r="J173" s="7"/>
      <c r="K173" s="7"/>
      <c r="L173" s="3"/>
      <c r="M173" s="3"/>
      <c r="N173" s="3"/>
      <c r="O173" s="3"/>
      <c r="P173" s="3"/>
      <c r="Q173" s="3"/>
      <c r="R173" s="3"/>
      <c r="S173" s="3"/>
      <c r="T173" s="3"/>
      <c r="U173" s="3"/>
      <c r="V173" s="3"/>
      <c r="W173" s="3"/>
      <c r="X173" s="3"/>
      <c r="Y173" s="3"/>
    </row>
    <row r="174">
      <c r="A174" s="6"/>
      <c r="B174" s="6"/>
      <c r="C174" s="6"/>
      <c r="D174" s="6"/>
      <c r="E174" s="7"/>
      <c r="F174" s="6"/>
      <c r="G174" s="6"/>
      <c r="H174" s="6"/>
      <c r="I174" s="7"/>
      <c r="J174" s="7"/>
      <c r="K174" s="7"/>
      <c r="L174" s="3"/>
      <c r="M174" s="3"/>
      <c r="N174" s="3"/>
      <c r="O174" s="3"/>
      <c r="P174" s="3"/>
      <c r="Q174" s="3"/>
      <c r="R174" s="3"/>
      <c r="S174" s="3"/>
      <c r="T174" s="3"/>
      <c r="U174" s="3"/>
      <c r="V174" s="3"/>
      <c r="W174" s="3"/>
      <c r="X174" s="3"/>
      <c r="Y174" s="3"/>
    </row>
    <row r="175">
      <c r="A175" s="6"/>
      <c r="B175" s="6"/>
      <c r="C175" s="6"/>
      <c r="D175" s="6"/>
      <c r="E175" s="7"/>
      <c r="F175" s="6"/>
      <c r="G175" s="6"/>
      <c r="H175" s="6"/>
      <c r="I175" s="7"/>
      <c r="J175" s="7"/>
      <c r="K175" s="7"/>
      <c r="L175" s="3"/>
      <c r="M175" s="3"/>
      <c r="N175" s="3"/>
      <c r="O175" s="3"/>
      <c r="P175" s="3"/>
      <c r="Q175" s="3"/>
      <c r="R175" s="3"/>
      <c r="S175" s="3"/>
      <c r="T175" s="3"/>
      <c r="U175" s="3"/>
      <c r="V175" s="3"/>
      <c r="W175" s="3"/>
      <c r="X175" s="3"/>
      <c r="Y175" s="3"/>
    </row>
    <row r="176">
      <c r="A176" s="6"/>
      <c r="B176" s="6"/>
      <c r="C176" s="6"/>
      <c r="D176" s="6"/>
      <c r="E176" s="7"/>
      <c r="F176" s="6"/>
      <c r="G176" s="6"/>
      <c r="H176" s="6"/>
      <c r="I176" s="7"/>
      <c r="J176" s="7"/>
      <c r="K176" s="7"/>
      <c r="L176" s="3"/>
      <c r="M176" s="3"/>
      <c r="N176" s="3"/>
      <c r="O176" s="3"/>
      <c r="P176" s="3"/>
      <c r="Q176" s="3"/>
      <c r="R176" s="3"/>
      <c r="S176" s="3"/>
      <c r="T176" s="3"/>
      <c r="U176" s="3"/>
      <c r="V176" s="3"/>
      <c r="W176" s="3"/>
      <c r="X176" s="3"/>
      <c r="Y176" s="3"/>
    </row>
    <row r="177">
      <c r="A177" s="6"/>
      <c r="B177" s="6"/>
      <c r="C177" s="6"/>
      <c r="D177" s="6"/>
      <c r="E177" s="7"/>
      <c r="F177" s="6"/>
      <c r="G177" s="6"/>
      <c r="H177" s="6"/>
      <c r="I177" s="7"/>
      <c r="J177" s="7"/>
      <c r="K177" s="7"/>
      <c r="L177" s="3"/>
      <c r="M177" s="3"/>
      <c r="N177" s="3"/>
      <c r="O177" s="3"/>
      <c r="P177" s="3"/>
      <c r="Q177" s="3"/>
      <c r="R177" s="3"/>
      <c r="S177" s="3"/>
      <c r="T177" s="3"/>
      <c r="U177" s="3"/>
      <c r="V177" s="3"/>
      <c r="W177" s="3"/>
      <c r="X177" s="3"/>
      <c r="Y177" s="3"/>
    </row>
    <row r="178">
      <c r="A178" s="6"/>
      <c r="B178" s="6"/>
      <c r="C178" s="6"/>
      <c r="D178" s="6"/>
      <c r="E178" s="7"/>
      <c r="F178" s="6"/>
      <c r="G178" s="6"/>
      <c r="H178" s="6"/>
      <c r="I178" s="7"/>
      <c r="J178" s="7"/>
      <c r="K178" s="7"/>
      <c r="L178" s="3"/>
      <c r="M178" s="3"/>
      <c r="N178" s="3"/>
      <c r="O178" s="3"/>
      <c r="P178" s="3"/>
      <c r="Q178" s="3"/>
      <c r="R178" s="3"/>
      <c r="S178" s="3"/>
      <c r="T178" s="3"/>
      <c r="U178" s="3"/>
      <c r="V178" s="3"/>
      <c r="W178" s="3"/>
      <c r="X178" s="3"/>
      <c r="Y178" s="3"/>
    </row>
    <row r="179">
      <c r="A179" s="6"/>
      <c r="B179" s="6"/>
      <c r="C179" s="6"/>
      <c r="D179" s="6"/>
      <c r="E179" s="7"/>
      <c r="F179" s="6"/>
      <c r="G179" s="6"/>
      <c r="H179" s="6"/>
      <c r="I179" s="7"/>
      <c r="J179" s="7"/>
      <c r="K179" s="7"/>
      <c r="L179" s="3"/>
      <c r="M179" s="3"/>
      <c r="N179" s="3"/>
      <c r="O179" s="3"/>
      <c r="P179" s="3"/>
      <c r="Q179" s="3"/>
      <c r="R179" s="3"/>
      <c r="S179" s="3"/>
      <c r="T179" s="3"/>
      <c r="U179" s="3"/>
      <c r="V179" s="3"/>
      <c r="W179" s="3"/>
      <c r="X179" s="3"/>
      <c r="Y179" s="3"/>
    </row>
    <row r="180">
      <c r="A180" s="6"/>
      <c r="B180" s="6"/>
      <c r="C180" s="6"/>
      <c r="D180" s="6"/>
      <c r="E180" s="7"/>
      <c r="F180" s="6"/>
      <c r="G180" s="6"/>
      <c r="H180" s="6"/>
      <c r="I180" s="7"/>
      <c r="J180" s="7"/>
      <c r="K180" s="7"/>
      <c r="L180" s="3"/>
      <c r="M180" s="3"/>
      <c r="N180" s="3"/>
      <c r="O180" s="3"/>
      <c r="P180" s="3"/>
      <c r="Q180" s="3"/>
      <c r="R180" s="3"/>
      <c r="S180" s="3"/>
      <c r="T180" s="3"/>
      <c r="U180" s="3"/>
      <c r="V180" s="3"/>
      <c r="W180" s="3"/>
      <c r="X180" s="3"/>
      <c r="Y180" s="3"/>
    </row>
    <row r="181">
      <c r="A181" s="6"/>
      <c r="B181" s="6"/>
      <c r="C181" s="6"/>
      <c r="D181" s="6"/>
      <c r="E181" s="7"/>
      <c r="F181" s="6"/>
      <c r="G181" s="6"/>
      <c r="H181" s="6"/>
      <c r="I181" s="7"/>
      <c r="J181" s="7"/>
      <c r="K181" s="7"/>
      <c r="L181" s="3"/>
      <c r="M181" s="3"/>
      <c r="N181" s="3"/>
      <c r="O181" s="3"/>
      <c r="P181" s="3"/>
      <c r="Q181" s="3"/>
      <c r="R181" s="3"/>
      <c r="S181" s="3"/>
      <c r="T181" s="3"/>
      <c r="U181" s="3"/>
      <c r="V181" s="3"/>
      <c r="W181" s="3"/>
      <c r="X181" s="3"/>
      <c r="Y181" s="3"/>
    </row>
    <row r="182">
      <c r="A182" s="6"/>
      <c r="B182" s="6"/>
      <c r="C182" s="6"/>
      <c r="D182" s="6"/>
      <c r="E182" s="7"/>
      <c r="F182" s="6"/>
      <c r="G182" s="6"/>
      <c r="H182" s="6"/>
      <c r="I182" s="7"/>
      <c r="J182" s="7"/>
      <c r="K182" s="7"/>
      <c r="L182" s="3"/>
      <c r="M182" s="3"/>
      <c r="N182" s="3"/>
      <c r="O182" s="3"/>
      <c r="P182" s="3"/>
      <c r="Q182" s="3"/>
      <c r="R182" s="3"/>
      <c r="S182" s="3"/>
      <c r="T182" s="3"/>
      <c r="U182" s="3"/>
      <c r="V182" s="3"/>
      <c r="W182" s="3"/>
      <c r="X182" s="3"/>
      <c r="Y182" s="3"/>
    </row>
    <row r="183">
      <c r="A183" s="6"/>
      <c r="B183" s="6"/>
      <c r="C183" s="6"/>
      <c r="D183" s="6"/>
      <c r="E183" s="7"/>
      <c r="F183" s="6"/>
      <c r="G183" s="6"/>
      <c r="H183" s="6"/>
      <c r="I183" s="7"/>
      <c r="J183" s="7"/>
      <c r="K183" s="7"/>
      <c r="L183" s="3"/>
      <c r="M183" s="3"/>
      <c r="N183" s="3"/>
      <c r="O183" s="3"/>
      <c r="P183" s="3"/>
      <c r="Q183" s="3"/>
      <c r="R183" s="3"/>
      <c r="S183" s="3"/>
      <c r="T183" s="3"/>
      <c r="U183" s="3"/>
      <c r="V183" s="3"/>
      <c r="W183" s="3"/>
      <c r="X183" s="3"/>
      <c r="Y183" s="3"/>
    </row>
    <row r="184">
      <c r="A184" s="6"/>
      <c r="B184" s="6"/>
      <c r="C184" s="6"/>
      <c r="D184" s="6"/>
      <c r="E184" s="7"/>
      <c r="F184" s="6"/>
      <c r="G184" s="6"/>
      <c r="H184" s="6"/>
      <c r="I184" s="7"/>
      <c r="J184" s="7"/>
      <c r="K184" s="7"/>
      <c r="L184" s="3"/>
      <c r="M184" s="3"/>
      <c r="N184" s="3"/>
      <c r="O184" s="3"/>
      <c r="P184" s="3"/>
      <c r="Q184" s="3"/>
      <c r="R184" s="3"/>
      <c r="S184" s="3"/>
      <c r="T184" s="3"/>
      <c r="U184" s="3"/>
      <c r="V184" s="3"/>
      <c r="W184" s="3"/>
      <c r="X184" s="3"/>
      <c r="Y184" s="3"/>
    </row>
    <row r="185">
      <c r="A185" s="6"/>
      <c r="B185" s="6"/>
      <c r="C185" s="6"/>
      <c r="D185" s="6"/>
      <c r="E185" s="7"/>
      <c r="F185" s="6"/>
      <c r="G185" s="6"/>
      <c r="H185" s="6"/>
      <c r="I185" s="7"/>
      <c r="J185" s="7"/>
      <c r="K185" s="7"/>
      <c r="L185" s="3"/>
      <c r="M185" s="3"/>
      <c r="N185" s="3"/>
      <c r="O185" s="3"/>
      <c r="P185" s="3"/>
      <c r="Q185" s="3"/>
      <c r="R185" s="3"/>
      <c r="S185" s="3"/>
      <c r="T185" s="3"/>
      <c r="U185" s="3"/>
      <c r="V185" s="3"/>
      <c r="W185" s="3"/>
      <c r="X185" s="3"/>
      <c r="Y185" s="3"/>
    </row>
    <row r="186">
      <c r="A186" s="6"/>
      <c r="B186" s="6"/>
      <c r="C186" s="6"/>
      <c r="D186" s="6"/>
      <c r="E186" s="7"/>
      <c r="F186" s="6"/>
      <c r="G186" s="6"/>
      <c r="H186" s="6"/>
      <c r="I186" s="7"/>
      <c r="J186" s="7"/>
      <c r="K186" s="7"/>
      <c r="L186" s="3"/>
      <c r="M186" s="3"/>
      <c r="N186" s="3"/>
      <c r="O186" s="3"/>
      <c r="P186" s="3"/>
      <c r="Q186" s="3"/>
      <c r="R186" s="3"/>
      <c r="S186" s="3"/>
      <c r="T186" s="3"/>
      <c r="U186" s="3"/>
      <c r="V186" s="3"/>
      <c r="W186" s="3"/>
      <c r="X186" s="3"/>
      <c r="Y186" s="3"/>
    </row>
    <row r="187">
      <c r="A187" s="6"/>
      <c r="B187" s="6"/>
      <c r="C187" s="6"/>
      <c r="D187" s="6"/>
      <c r="E187" s="7"/>
      <c r="F187" s="6"/>
      <c r="G187" s="6"/>
      <c r="H187" s="6"/>
      <c r="I187" s="7"/>
      <c r="J187" s="7"/>
      <c r="K187" s="7"/>
      <c r="L187" s="3"/>
      <c r="M187" s="3"/>
      <c r="N187" s="3"/>
      <c r="O187" s="3"/>
      <c r="P187" s="3"/>
      <c r="Q187" s="3"/>
      <c r="R187" s="3"/>
      <c r="S187" s="3"/>
      <c r="T187" s="3"/>
      <c r="U187" s="3"/>
      <c r="V187" s="3"/>
      <c r="W187" s="3"/>
      <c r="X187" s="3"/>
      <c r="Y187" s="3"/>
    </row>
    <row r="188">
      <c r="A188" s="6"/>
      <c r="B188" s="6"/>
      <c r="C188" s="6"/>
      <c r="D188" s="6"/>
      <c r="E188" s="7"/>
      <c r="F188" s="6"/>
      <c r="G188" s="6"/>
      <c r="H188" s="6"/>
      <c r="I188" s="7"/>
      <c r="J188" s="7"/>
      <c r="K188" s="7"/>
      <c r="L188" s="3"/>
      <c r="M188" s="3"/>
      <c r="N188" s="3"/>
      <c r="O188" s="3"/>
      <c r="P188" s="3"/>
      <c r="Q188" s="3"/>
      <c r="R188" s="3"/>
      <c r="S188" s="3"/>
      <c r="T188" s="3"/>
      <c r="U188" s="3"/>
      <c r="V188" s="3"/>
      <c r="W188" s="3"/>
      <c r="X188" s="3"/>
      <c r="Y188" s="3"/>
    </row>
    <row r="189">
      <c r="A189" s="6"/>
      <c r="B189" s="6"/>
      <c r="C189" s="6"/>
      <c r="D189" s="6"/>
      <c r="E189" s="7"/>
      <c r="F189" s="6"/>
      <c r="G189" s="6"/>
      <c r="H189" s="6"/>
      <c r="I189" s="7"/>
      <c r="J189" s="7"/>
      <c r="K189" s="7"/>
      <c r="L189" s="3"/>
      <c r="M189" s="3"/>
      <c r="N189" s="3"/>
      <c r="O189" s="3"/>
      <c r="P189" s="3"/>
      <c r="Q189" s="3"/>
      <c r="R189" s="3"/>
      <c r="S189" s="3"/>
      <c r="T189" s="3"/>
      <c r="U189" s="3"/>
      <c r="V189" s="3"/>
      <c r="W189" s="3"/>
      <c r="X189" s="3"/>
      <c r="Y189" s="3"/>
    </row>
    <row r="190">
      <c r="A190" s="6"/>
      <c r="B190" s="6"/>
      <c r="C190" s="6"/>
      <c r="D190" s="6"/>
      <c r="E190" s="7"/>
      <c r="F190" s="6"/>
      <c r="G190" s="6"/>
      <c r="H190" s="6"/>
      <c r="I190" s="7"/>
      <c r="J190" s="7"/>
      <c r="K190" s="7"/>
      <c r="L190" s="3"/>
      <c r="M190" s="3"/>
      <c r="N190" s="3"/>
      <c r="O190" s="3"/>
      <c r="P190" s="3"/>
      <c r="Q190" s="3"/>
      <c r="R190" s="3"/>
      <c r="S190" s="3"/>
      <c r="T190" s="3"/>
      <c r="U190" s="3"/>
      <c r="V190" s="3"/>
      <c r="W190" s="3"/>
      <c r="X190" s="3"/>
      <c r="Y190" s="3"/>
    </row>
    <row r="191">
      <c r="A191" s="6"/>
      <c r="B191" s="6"/>
      <c r="C191" s="6"/>
      <c r="D191" s="6"/>
      <c r="E191" s="7"/>
      <c r="F191" s="6"/>
      <c r="G191" s="6"/>
      <c r="H191" s="6"/>
      <c r="I191" s="7"/>
      <c r="J191" s="7"/>
      <c r="K191" s="7"/>
      <c r="L191" s="3"/>
      <c r="M191" s="3"/>
      <c r="N191" s="3"/>
      <c r="O191" s="3"/>
      <c r="P191" s="3"/>
      <c r="Q191" s="3"/>
      <c r="R191" s="3"/>
      <c r="S191" s="3"/>
      <c r="T191" s="3"/>
      <c r="U191" s="3"/>
      <c r="V191" s="3"/>
      <c r="W191" s="3"/>
      <c r="X191" s="3"/>
      <c r="Y191" s="3"/>
    </row>
    <row r="192">
      <c r="A192" s="6"/>
      <c r="B192" s="6"/>
      <c r="C192" s="6"/>
      <c r="D192" s="6"/>
      <c r="E192" s="7"/>
      <c r="F192" s="6"/>
      <c r="G192" s="6"/>
      <c r="H192" s="6"/>
      <c r="I192" s="7"/>
      <c r="J192" s="7"/>
      <c r="K192" s="7"/>
      <c r="L192" s="3"/>
      <c r="M192" s="3"/>
      <c r="N192" s="3"/>
      <c r="O192" s="3"/>
      <c r="P192" s="3"/>
      <c r="Q192" s="3"/>
      <c r="R192" s="3"/>
      <c r="S192" s="3"/>
      <c r="T192" s="3"/>
      <c r="U192" s="3"/>
      <c r="V192" s="3"/>
      <c r="W192" s="3"/>
      <c r="X192" s="3"/>
      <c r="Y192" s="3"/>
    </row>
    <row r="193">
      <c r="A193" s="6"/>
      <c r="B193" s="6"/>
      <c r="C193" s="6"/>
      <c r="D193" s="6"/>
      <c r="E193" s="7"/>
      <c r="F193" s="6"/>
      <c r="G193" s="6"/>
      <c r="H193" s="6"/>
      <c r="I193" s="7"/>
      <c r="J193" s="7"/>
      <c r="K193" s="7"/>
      <c r="L193" s="3"/>
      <c r="M193" s="3"/>
      <c r="N193" s="3"/>
      <c r="O193" s="3"/>
      <c r="P193" s="3"/>
      <c r="Q193" s="3"/>
      <c r="R193" s="3"/>
      <c r="S193" s="3"/>
      <c r="T193" s="3"/>
      <c r="U193" s="3"/>
      <c r="V193" s="3"/>
      <c r="W193" s="3"/>
      <c r="X193" s="3"/>
      <c r="Y193" s="3"/>
    </row>
    <row r="194">
      <c r="A194" s="6"/>
      <c r="B194" s="6"/>
      <c r="C194" s="6"/>
      <c r="D194" s="6"/>
      <c r="E194" s="7"/>
      <c r="F194" s="6"/>
      <c r="G194" s="6"/>
      <c r="H194" s="6"/>
      <c r="I194" s="7"/>
      <c r="J194" s="7"/>
      <c r="K194" s="7"/>
      <c r="L194" s="3"/>
      <c r="M194" s="3"/>
      <c r="N194" s="3"/>
      <c r="O194" s="3"/>
      <c r="P194" s="3"/>
      <c r="Q194" s="3"/>
      <c r="R194" s="3"/>
      <c r="S194" s="3"/>
      <c r="T194" s="3"/>
      <c r="U194" s="3"/>
      <c r="V194" s="3"/>
      <c r="W194" s="3"/>
      <c r="X194" s="3"/>
      <c r="Y194" s="3"/>
    </row>
    <row r="195">
      <c r="A195" s="6"/>
      <c r="B195" s="6"/>
      <c r="C195" s="6"/>
      <c r="D195" s="6"/>
      <c r="E195" s="7"/>
      <c r="F195" s="6"/>
      <c r="G195" s="6"/>
      <c r="H195" s="6"/>
      <c r="I195" s="7"/>
      <c r="J195" s="7"/>
      <c r="K195" s="7"/>
      <c r="L195" s="3"/>
      <c r="M195" s="3"/>
      <c r="N195" s="3"/>
      <c r="O195" s="3"/>
      <c r="P195" s="3"/>
      <c r="Q195" s="3"/>
      <c r="R195" s="3"/>
      <c r="S195" s="3"/>
      <c r="T195" s="3"/>
      <c r="U195" s="3"/>
      <c r="V195" s="3"/>
      <c r="W195" s="3"/>
      <c r="X195" s="3"/>
      <c r="Y195" s="3"/>
    </row>
    <row r="196">
      <c r="A196" s="6"/>
      <c r="B196" s="6"/>
      <c r="C196" s="6"/>
      <c r="D196" s="6"/>
      <c r="E196" s="7"/>
      <c r="F196" s="6"/>
      <c r="G196" s="6"/>
      <c r="H196" s="6"/>
      <c r="I196" s="7"/>
      <c r="J196" s="7"/>
      <c r="K196" s="7"/>
      <c r="L196" s="3"/>
      <c r="M196" s="3"/>
      <c r="N196" s="3"/>
      <c r="O196" s="3"/>
      <c r="P196" s="3"/>
      <c r="Q196" s="3"/>
      <c r="R196" s="3"/>
      <c r="S196" s="3"/>
      <c r="T196" s="3"/>
      <c r="U196" s="3"/>
      <c r="V196" s="3"/>
      <c r="W196" s="3"/>
      <c r="X196" s="3"/>
      <c r="Y196" s="3"/>
    </row>
    <row r="197">
      <c r="A197" s="6"/>
      <c r="B197" s="6"/>
      <c r="C197" s="6"/>
      <c r="D197" s="6"/>
      <c r="E197" s="7"/>
      <c r="F197" s="6"/>
      <c r="G197" s="6"/>
      <c r="H197" s="6"/>
      <c r="I197" s="7"/>
      <c r="J197" s="7"/>
      <c r="K197" s="7"/>
      <c r="L197" s="3"/>
      <c r="M197" s="3"/>
      <c r="N197" s="3"/>
      <c r="O197" s="3"/>
      <c r="P197" s="3"/>
      <c r="Q197" s="3"/>
      <c r="R197" s="3"/>
      <c r="S197" s="3"/>
      <c r="T197" s="3"/>
      <c r="U197" s="3"/>
      <c r="V197" s="3"/>
      <c r="W197" s="3"/>
      <c r="X197" s="3"/>
      <c r="Y197" s="3"/>
    </row>
    <row r="198">
      <c r="A198" s="6"/>
      <c r="B198" s="6"/>
      <c r="C198" s="6"/>
      <c r="D198" s="6"/>
      <c r="E198" s="7"/>
      <c r="F198" s="6"/>
      <c r="G198" s="6"/>
      <c r="H198" s="6"/>
      <c r="I198" s="7"/>
      <c r="J198" s="7"/>
      <c r="K198" s="7"/>
      <c r="L198" s="3"/>
      <c r="M198" s="3"/>
      <c r="N198" s="3"/>
      <c r="O198" s="3"/>
      <c r="P198" s="3"/>
      <c r="Q198" s="3"/>
      <c r="R198" s="3"/>
      <c r="S198" s="3"/>
      <c r="T198" s="3"/>
      <c r="U198" s="3"/>
      <c r="V198" s="3"/>
      <c r="W198" s="3"/>
      <c r="X198" s="3"/>
      <c r="Y198" s="3"/>
    </row>
    <row r="199">
      <c r="A199" s="6"/>
      <c r="B199" s="6"/>
      <c r="C199" s="6"/>
      <c r="D199" s="6"/>
      <c r="E199" s="7"/>
      <c r="F199" s="6"/>
      <c r="G199" s="6"/>
      <c r="H199" s="6"/>
      <c r="I199" s="7"/>
      <c r="J199" s="7"/>
      <c r="K199" s="7"/>
      <c r="L199" s="3"/>
      <c r="M199" s="3"/>
      <c r="N199" s="3"/>
      <c r="O199" s="3"/>
      <c r="P199" s="3"/>
      <c r="Q199" s="3"/>
      <c r="R199" s="3"/>
      <c r="S199" s="3"/>
      <c r="T199" s="3"/>
      <c r="U199" s="3"/>
      <c r="V199" s="3"/>
      <c r="W199" s="3"/>
      <c r="X199" s="3"/>
      <c r="Y199" s="3"/>
    </row>
    <row r="200">
      <c r="A200" s="6"/>
      <c r="B200" s="6"/>
      <c r="C200" s="6"/>
      <c r="D200" s="6"/>
      <c r="E200" s="7"/>
      <c r="F200" s="6"/>
      <c r="G200" s="6"/>
      <c r="H200" s="6"/>
      <c r="I200" s="7"/>
      <c r="J200" s="7"/>
      <c r="K200" s="7"/>
      <c r="L200" s="3"/>
      <c r="M200" s="3"/>
      <c r="N200" s="3"/>
      <c r="O200" s="3"/>
      <c r="P200" s="3"/>
      <c r="Q200" s="3"/>
      <c r="R200" s="3"/>
      <c r="S200" s="3"/>
      <c r="T200" s="3"/>
      <c r="U200" s="3"/>
      <c r="V200" s="3"/>
      <c r="W200" s="3"/>
      <c r="X200" s="3"/>
      <c r="Y200" s="3"/>
    </row>
    <row r="201">
      <c r="A201" s="6"/>
      <c r="B201" s="6"/>
      <c r="C201" s="6"/>
      <c r="D201" s="6"/>
      <c r="E201" s="7"/>
      <c r="F201" s="6"/>
      <c r="G201" s="6"/>
      <c r="H201" s="6"/>
      <c r="I201" s="7"/>
      <c r="J201" s="7"/>
      <c r="K201" s="7"/>
      <c r="L201" s="3"/>
      <c r="M201" s="3"/>
      <c r="N201" s="3"/>
      <c r="O201" s="3"/>
      <c r="P201" s="3"/>
      <c r="Q201" s="3"/>
      <c r="R201" s="3"/>
      <c r="S201" s="3"/>
      <c r="T201" s="3"/>
      <c r="U201" s="3"/>
      <c r="V201" s="3"/>
      <c r="W201" s="3"/>
      <c r="X201" s="3"/>
      <c r="Y201" s="3"/>
    </row>
    <row r="202">
      <c r="A202" s="6"/>
      <c r="B202" s="6"/>
      <c r="C202" s="6"/>
      <c r="D202" s="6"/>
      <c r="E202" s="7"/>
      <c r="F202" s="6"/>
      <c r="G202" s="6"/>
      <c r="H202" s="6"/>
      <c r="I202" s="7"/>
      <c r="J202" s="7"/>
      <c r="K202" s="7"/>
      <c r="L202" s="3"/>
      <c r="M202" s="3"/>
      <c r="N202" s="3"/>
      <c r="O202" s="3"/>
      <c r="P202" s="3"/>
      <c r="Q202" s="3"/>
      <c r="R202" s="3"/>
      <c r="S202" s="3"/>
      <c r="T202" s="3"/>
      <c r="U202" s="3"/>
      <c r="V202" s="3"/>
      <c r="W202" s="3"/>
      <c r="X202" s="3"/>
      <c r="Y202" s="3"/>
    </row>
    <row r="203">
      <c r="A203" s="6"/>
      <c r="B203" s="6"/>
      <c r="C203" s="6"/>
      <c r="D203" s="6"/>
      <c r="E203" s="7"/>
      <c r="F203" s="6"/>
      <c r="G203" s="6"/>
      <c r="H203" s="6"/>
      <c r="I203" s="7"/>
      <c r="J203" s="7"/>
      <c r="K203" s="7"/>
      <c r="L203" s="3"/>
      <c r="M203" s="3"/>
      <c r="N203" s="3"/>
      <c r="O203" s="3"/>
      <c r="P203" s="3"/>
      <c r="Q203" s="3"/>
      <c r="R203" s="3"/>
      <c r="S203" s="3"/>
      <c r="T203" s="3"/>
      <c r="U203" s="3"/>
      <c r="V203" s="3"/>
      <c r="W203" s="3"/>
      <c r="X203" s="3"/>
      <c r="Y203" s="3"/>
    </row>
    <row r="204">
      <c r="A204" s="6"/>
      <c r="B204" s="6"/>
      <c r="C204" s="6"/>
      <c r="D204" s="6"/>
      <c r="E204" s="7"/>
      <c r="F204" s="6"/>
      <c r="G204" s="6"/>
      <c r="H204" s="6"/>
      <c r="I204" s="7"/>
      <c r="J204" s="7"/>
      <c r="K204" s="7"/>
      <c r="L204" s="3"/>
      <c r="M204" s="3"/>
      <c r="N204" s="3"/>
      <c r="O204" s="3"/>
      <c r="P204" s="3"/>
      <c r="Q204" s="3"/>
      <c r="R204" s="3"/>
      <c r="S204" s="3"/>
      <c r="T204" s="3"/>
      <c r="U204" s="3"/>
      <c r="V204" s="3"/>
      <c r="W204" s="3"/>
      <c r="X204" s="3"/>
      <c r="Y204" s="3"/>
    </row>
    <row r="205">
      <c r="A205" s="6"/>
      <c r="B205" s="6"/>
      <c r="C205" s="6"/>
      <c r="D205" s="6"/>
      <c r="E205" s="7"/>
      <c r="F205" s="6"/>
      <c r="G205" s="6"/>
      <c r="H205" s="6"/>
      <c r="I205" s="7"/>
      <c r="J205" s="7"/>
      <c r="K205" s="7"/>
      <c r="L205" s="3"/>
      <c r="M205" s="3"/>
      <c r="N205" s="3"/>
      <c r="O205" s="3"/>
      <c r="P205" s="3"/>
      <c r="Q205" s="3"/>
      <c r="R205" s="3"/>
      <c r="S205" s="3"/>
      <c r="T205" s="3"/>
      <c r="U205" s="3"/>
      <c r="V205" s="3"/>
      <c r="W205" s="3"/>
      <c r="X205" s="3"/>
      <c r="Y205" s="3"/>
    </row>
    <row r="206">
      <c r="A206" s="6"/>
      <c r="B206" s="6"/>
      <c r="C206" s="6"/>
      <c r="D206" s="6"/>
      <c r="E206" s="7"/>
      <c r="F206" s="6"/>
      <c r="G206" s="6"/>
      <c r="H206" s="6"/>
      <c r="I206" s="7"/>
      <c r="J206" s="7"/>
      <c r="K206" s="7"/>
      <c r="L206" s="3"/>
      <c r="M206" s="3"/>
      <c r="N206" s="3"/>
      <c r="O206" s="3"/>
      <c r="P206" s="3"/>
      <c r="Q206" s="3"/>
      <c r="R206" s="3"/>
      <c r="S206" s="3"/>
      <c r="T206" s="3"/>
      <c r="U206" s="3"/>
      <c r="V206" s="3"/>
      <c r="W206" s="3"/>
      <c r="X206" s="3"/>
      <c r="Y206" s="3"/>
    </row>
    <row r="207">
      <c r="A207" s="6"/>
      <c r="B207" s="6"/>
      <c r="C207" s="6"/>
      <c r="D207" s="6"/>
      <c r="E207" s="7"/>
      <c r="F207" s="6"/>
      <c r="G207" s="6"/>
      <c r="H207" s="6"/>
      <c r="I207" s="7"/>
      <c r="J207" s="7"/>
      <c r="K207" s="7"/>
      <c r="L207" s="3"/>
      <c r="M207" s="3"/>
      <c r="N207" s="3"/>
      <c r="O207" s="3"/>
      <c r="P207" s="3"/>
      <c r="Q207" s="3"/>
      <c r="R207" s="3"/>
      <c r="S207" s="3"/>
      <c r="T207" s="3"/>
      <c r="U207" s="3"/>
      <c r="V207" s="3"/>
      <c r="W207" s="3"/>
      <c r="X207" s="3"/>
      <c r="Y207" s="3"/>
    </row>
    <row r="208">
      <c r="A208" s="6"/>
      <c r="B208" s="6"/>
      <c r="C208" s="6"/>
      <c r="D208" s="6"/>
      <c r="E208" s="7"/>
      <c r="F208" s="6"/>
      <c r="G208" s="6"/>
      <c r="H208" s="6"/>
      <c r="I208" s="7"/>
      <c r="J208" s="7"/>
      <c r="K208" s="7"/>
      <c r="L208" s="3"/>
      <c r="M208" s="3"/>
      <c r="N208" s="3"/>
      <c r="O208" s="3"/>
      <c r="P208" s="3"/>
      <c r="Q208" s="3"/>
      <c r="R208" s="3"/>
      <c r="S208" s="3"/>
      <c r="T208" s="3"/>
      <c r="U208" s="3"/>
      <c r="V208" s="3"/>
      <c r="W208" s="3"/>
      <c r="X208" s="3"/>
      <c r="Y208" s="3"/>
    </row>
    <row r="209">
      <c r="A209" s="6"/>
      <c r="B209" s="6"/>
      <c r="C209" s="6"/>
      <c r="D209" s="6"/>
      <c r="E209" s="7"/>
      <c r="F209" s="6"/>
      <c r="G209" s="6"/>
      <c r="H209" s="6"/>
      <c r="I209" s="7"/>
      <c r="J209" s="7"/>
      <c r="K209" s="7"/>
      <c r="L209" s="3"/>
      <c r="M209" s="3"/>
      <c r="N209" s="3"/>
      <c r="O209" s="3"/>
      <c r="P209" s="3"/>
      <c r="Q209" s="3"/>
      <c r="R209" s="3"/>
      <c r="S209" s="3"/>
      <c r="T209" s="3"/>
      <c r="U209" s="3"/>
      <c r="V209" s="3"/>
      <c r="W209" s="3"/>
      <c r="X209" s="3"/>
      <c r="Y209" s="3"/>
    </row>
    <row r="210">
      <c r="A210" s="6"/>
      <c r="B210" s="6"/>
      <c r="C210" s="6"/>
      <c r="D210" s="6"/>
      <c r="E210" s="7"/>
      <c r="F210" s="6"/>
      <c r="G210" s="6"/>
      <c r="H210" s="6"/>
      <c r="I210" s="7"/>
      <c r="J210" s="7"/>
      <c r="K210" s="7"/>
      <c r="L210" s="3"/>
      <c r="M210" s="3"/>
      <c r="N210" s="3"/>
      <c r="O210" s="3"/>
      <c r="P210" s="3"/>
      <c r="Q210" s="3"/>
      <c r="R210" s="3"/>
      <c r="S210" s="3"/>
      <c r="T210" s="3"/>
      <c r="U210" s="3"/>
      <c r="V210" s="3"/>
      <c r="W210" s="3"/>
      <c r="X210" s="3"/>
      <c r="Y210" s="3"/>
    </row>
    <row r="211">
      <c r="A211" s="6"/>
      <c r="B211" s="6"/>
      <c r="C211" s="6"/>
      <c r="D211" s="6"/>
      <c r="E211" s="7"/>
      <c r="F211" s="6"/>
      <c r="G211" s="6"/>
      <c r="H211" s="6"/>
      <c r="I211" s="7"/>
      <c r="J211" s="7"/>
      <c r="K211" s="7"/>
      <c r="L211" s="3"/>
      <c r="M211" s="3"/>
      <c r="N211" s="3"/>
      <c r="O211" s="3"/>
      <c r="P211" s="3"/>
      <c r="Q211" s="3"/>
      <c r="R211" s="3"/>
      <c r="S211" s="3"/>
      <c r="T211" s="3"/>
      <c r="U211" s="3"/>
      <c r="V211" s="3"/>
      <c r="W211" s="3"/>
      <c r="X211" s="3"/>
      <c r="Y211" s="3"/>
    </row>
    <row r="212">
      <c r="A212" s="6"/>
      <c r="B212" s="6"/>
      <c r="C212" s="6"/>
      <c r="D212" s="6"/>
      <c r="E212" s="7"/>
      <c r="F212" s="6"/>
      <c r="G212" s="6"/>
      <c r="H212" s="6"/>
      <c r="I212" s="7"/>
      <c r="J212" s="7"/>
      <c r="K212" s="7"/>
      <c r="L212" s="3"/>
      <c r="M212" s="3"/>
      <c r="N212" s="3"/>
      <c r="O212" s="3"/>
      <c r="P212" s="3"/>
      <c r="Q212" s="3"/>
      <c r="R212" s="3"/>
      <c r="S212" s="3"/>
      <c r="T212" s="3"/>
      <c r="U212" s="3"/>
      <c r="V212" s="3"/>
      <c r="W212" s="3"/>
      <c r="X212" s="3"/>
      <c r="Y212" s="3"/>
    </row>
    <row r="213">
      <c r="A213" s="6"/>
      <c r="B213" s="6"/>
      <c r="C213" s="6"/>
      <c r="D213" s="6"/>
      <c r="E213" s="7"/>
      <c r="F213" s="6"/>
      <c r="G213" s="6"/>
      <c r="H213" s="6"/>
      <c r="I213" s="7"/>
      <c r="J213" s="7"/>
      <c r="K213" s="7"/>
      <c r="L213" s="3"/>
      <c r="M213" s="3"/>
      <c r="N213" s="3"/>
      <c r="O213" s="3"/>
      <c r="P213" s="3"/>
      <c r="Q213" s="3"/>
      <c r="R213" s="3"/>
      <c r="S213" s="3"/>
      <c r="T213" s="3"/>
      <c r="U213" s="3"/>
      <c r="V213" s="3"/>
      <c r="W213" s="3"/>
      <c r="X213" s="3"/>
      <c r="Y213" s="3"/>
    </row>
    <row r="214">
      <c r="A214" s="6"/>
      <c r="B214" s="6"/>
      <c r="C214" s="6"/>
      <c r="D214" s="6"/>
      <c r="E214" s="7"/>
      <c r="F214" s="6"/>
      <c r="G214" s="6"/>
      <c r="H214" s="6"/>
      <c r="I214" s="7"/>
      <c r="J214" s="7"/>
      <c r="K214" s="7"/>
      <c r="L214" s="3"/>
      <c r="M214" s="3"/>
      <c r="N214" s="3"/>
      <c r="O214" s="3"/>
      <c r="P214" s="3"/>
      <c r="Q214" s="3"/>
      <c r="R214" s="3"/>
      <c r="S214" s="3"/>
      <c r="T214" s="3"/>
      <c r="U214" s="3"/>
      <c r="V214" s="3"/>
      <c r="W214" s="3"/>
      <c r="X214" s="3"/>
      <c r="Y214" s="3"/>
    </row>
    <row r="215">
      <c r="A215" s="6"/>
      <c r="B215" s="6"/>
      <c r="C215" s="6"/>
      <c r="D215" s="6"/>
      <c r="E215" s="7"/>
      <c r="F215" s="6"/>
      <c r="G215" s="6"/>
      <c r="H215" s="6"/>
      <c r="I215" s="7"/>
      <c r="J215" s="7"/>
      <c r="K215" s="7"/>
      <c r="L215" s="3"/>
      <c r="M215" s="3"/>
      <c r="N215" s="3"/>
      <c r="O215" s="3"/>
      <c r="P215" s="3"/>
      <c r="Q215" s="3"/>
      <c r="R215" s="3"/>
      <c r="S215" s="3"/>
      <c r="T215" s="3"/>
      <c r="U215" s="3"/>
      <c r="V215" s="3"/>
      <c r="W215" s="3"/>
      <c r="X215" s="3"/>
      <c r="Y215" s="3"/>
    </row>
    <row r="216">
      <c r="A216" s="6"/>
      <c r="B216" s="6"/>
      <c r="C216" s="6"/>
      <c r="D216" s="6"/>
      <c r="E216" s="7"/>
      <c r="F216" s="6"/>
      <c r="G216" s="6"/>
      <c r="H216" s="6"/>
      <c r="I216" s="7"/>
      <c r="J216" s="7"/>
      <c r="K216" s="7"/>
      <c r="L216" s="3"/>
      <c r="M216" s="3"/>
      <c r="N216" s="3"/>
      <c r="O216" s="3"/>
      <c r="P216" s="3"/>
      <c r="Q216" s="3"/>
      <c r="R216" s="3"/>
      <c r="S216" s="3"/>
      <c r="T216" s="3"/>
      <c r="U216" s="3"/>
      <c r="V216" s="3"/>
      <c r="W216" s="3"/>
      <c r="X216" s="3"/>
      <c r="Y216" s="3"/>
    </row>
    <row r="217">
      <c r="A217" s="6"/>
      <c r="B217" s="6"/>
      <c r="C217" s="6"/>
      <c r="D217" s="6"/>
      <c r="E217" s="7"/>
      <c r="F217" s="6"/>
      <c r="G217" s="6"/>
      <c r="H217" s="6"/>
      <c r="I217" s="7"/>
      <c r="J217" s="7"/>
      <c r="K217" s="7"/>
      <c r="L217" s="3"/>
      <c r="M217" s="3"/>
      <c r="N217" s="3"/>
      <c r="O217" s="3"/>
      <c r="P217" s="3"/>
      <c r="Q217" s="3"/>
      <c r="R217" s="3"/>
      <c r="S217" s="3"/>
      <c r="T217" s="3"/>
      <c r="U217" s="3"/>
      <c r="V217" s="3"/>
      <c r="W217" s="3"/>
      <c r="X217" s="3"/>
      <c r="Y217" s="3"/>
    </row>
    <row r="218">
      <c r="A218" s="6"/>
      <c r="B218" s="6"/>
      <c r="C218" s="6"/>
      <c r="D218" s="6"/>
      <c r="E218" s="7"/>
      <c r="F218" s="6"/>
      <c r="G218" s="6"/>
      <c r="H218" s="6"/>
      <c r="I218" s="7"/>
      <c r="J218" s="7"/>
      <c r="K218" s="7"/>
      <c r="L218" s="3"/>
      <c r="M218" s="3"/>
      <c r="N218" s="3"/>
      <c r="O218" s="3"/>
      <c r="P218" s="3"/>
      <c r="Q218" s="3"/>
      <c r="R218" s="3"/>
      <c r="S218" s="3"/>
      <c r="T218" s="3"/>
      <c r="U218" s="3"/>
      <c r="V218" s="3"/>
      <c r="W218" s="3"/>
      <c r="X218" s="3"/>
      <c r="Y218" s="3"/>
    </row>
    <row r="219">
      <c r="A219" s="6"/>
      <c r="B219" s="6"/>
      <c r="C219" s="6"/>
      <c r="D219" s="6"/>
      <c r="E219" s="7"/>
      <c r="F219" s="6"/>
      <c r="G219" s="6"/>
      <c r="H219" s="6"/>
      <c r="I219" s="7"/>
      <c r="J219" s="7"/>
      <c r="K219" s="7"/>
      <c r="L219" s="3"/>
      <c r="M219" s="3"/>
      <c r="N219" s="3"/>
      <c r="O219" s="3"/>
      <c r="P219" s="3"/>
      <c r="Q219" s="3"/>
      <c r="R219" s="3"/>
      <c r="S219" s="3"/>
      <c r="T219" s="3"/>
      <c r="U219" s="3"/>
      <c r="V219" s="3"/>
      <c r="W219" s="3"/>
      <c r="X219" s="3"/>
      <c r="Y219" s="3"/>
    </row>
    <row r="220">
      <c r="A220" s="6"/>
      <c r="B220" s="6"/>
      <c r="C220" s="6"/>
      <c r="D220" s="6"/>
      <c r="E220" s="7"/>
      <c r="F220" s="6"/>
      <c r="G220" s="6"/>
      <c r="H220" s="6"/>
      <c r="I220" s="7"/>
      <c r="J220" s="7"/>
      <c r="K220" s="7"/>
      <c r="L220" s="3"/>
      <c r="M220" s="3"/>
      <c r="N220" s="3"/>
      <c r="O220" s="3"/>
      <c r="P220" s="3"/>
      <c r="Q220" s="3"/>
      <c r="R220" s="3"/>
      <c r="S220" s="3"/>
      <c r="T220" s="3"/>
      <c r="U220" s="3"/>
      <c r="V220" s="3"/>
      <c r="W220" s="3"/>
      <c r="X220" s="3"/>
      <c r="Y220" s="3"/>
    </row>
    <row r="221">
      <c r="A221" s="6"/>
      <c r="B221" s="6"/>
      <c r="C221" s="6"/>
      <c r="D221" s="6"/>
      <c r="E221" s="7"/>
      <c r="F221" s="6"/>
      <c r="G221" s="6"/>
      <c r="H221" s="6"/>
      <c r="I221" s="7"/>
      <c r="J221" s="7"/>
      <c r="K221" s="7"/>
      <c r="L221" s="3"/>
      <c r="M221" s="3"/>
      <c r="N221" s="3"/>
      <c r="O221" s="3"/>
      <c r="P221" s="3"/>
      <c r="Q221" s="3"/>
      <c r="R221" s="3"/>
      <c r="S221" s="3"/>
      <c r="T221" s="3"/>
      <c r="U221" s="3"/>
      <c r="V221" s="3"/>
      <c r="W221" s="3"/>
      <c r="X221" s="3"/>
      <c r="Y221" s="3"/>
    </row>
    <row r="222">
      <c r="A222" s="6"/>
      <c r="B222" s="6"/>
      <c r="C222" s="6"/>
      <c r="D222" s="6"/>
      <c r="E222" s="7"/>
      <c r="F222" s="6"/>
      <c r="G222" s="6"/>
      <c r="H222" s="6"/>
      <c r="I222" s="7"/>
      <c r="J222" s="7"/>
      <c r="K222" s="7"/>
      <c r="L222" s="3"/>
      <c r="M222" s="3"/>
      <c r="N222" s="3"/>
      <c r="O222" s="3"/>
      <c r="P222" s="3"/>
      <c r="Q222" s="3"/>
      <c r="R222" s="3"/>
      <c r="S222" s="3"/>
      <c r="T222" s="3"/>
      <c r="U222" s="3"/>
      <c r="V222" s="3"/>
      <c r="W222" s="3"/>
      <c r="X222" s="3"/>
      <c r="Y222" s="3"/>
    </row>
    <row r="223">
      <c r="A223" s="6"/>
      <c r="B223" s="6"/>
      <c r="C223" s="6"/>
      <c r="D223" s="6"/>
      <c r="E223" s="7"/>
      <c r="F223" s="6"/>
      <c r="G223" s="6"/>
      <c r="H223" s="6"/>
      <c r="I223" s="7"/>
      <c r="J223" s="7"/>
      <c r="K223" s="7"/>
      <c r="L223" s="3"/>
      <c r="M223" s="3"/>
      <c r="N223" s="3"/>
      <c r="O223" s="3"/>
      <c r="P223" s="3"/>
      <c r="Q223" s="3"/>
      <c r="R223" s="3"/>
      <c r="S223" s="3"/>
      <c r="T223" s="3"/>
      <c r="U223" s="3"/>
      <c r="V223" s="3"/>
      <c r="W223" s="3"/>
      <c r="X223" s="3"/>
      <c r="Y223" s="3"/>
    </row>
    <row r="224">
      <c r="A224" s="6"/>
      <c r="B224" s="6"/>
      <c r="C224" s="6"/>
      <c r="D224" s="6"/>
      <c r="E224" s="7"/>
      <c r="F224" s="6"/>
      <c r="G224" s="6"/>
      <c r="H224" s="6"/>
      <c r="I224" s="7"/>
      <c r="J224" s="7"/>
      <c r="K224" s="7"/>
      <c r="L224" s="3"/>
      <c r="M224" s="3"/>
      <c r="N224" s="3"/>
      <c r="O224" s="3"/>
      <c r="P224" s="3"/>
      <c r="Q224" s="3"/>
      <c r="R224" s="3"/>
      <c r="S224" s="3"/>
      <c r="T224" s="3"/>
      <c r="U224" s="3"/>
      <c r="V224" s="3"/>
      <c r="W224" s="3"/>
      <c r="X224" s="3"/>
      <c r="Y224" s="3"/>
    </row>
    <row r="225">
      <c r="A225" s="6"/>
      <c r="B225" s="6"/>
      <c r="C225" s="6"/>
      <c r="D225" s="6"/>
      <c r="E225" s="7"/>
      <c r="F225" s="6"/>
      <c r="G225" s="6"/>
      <c r="H225" s="6"/>
      <c r="I225" s="7"/>
      <c r="J225" s="7"/>
      <c r="K225" s="7"/>
      <c r="L225" s="3"/>
      <c r="M225" s="3"/>
      <c r="N225" s="3"/>
      <c r="O225" s="3"/>
      <c r="P225" s="3"/>
      <c r="Q225" s="3"/>
      <c r="R225" s="3"/>
      <c r="S225" s="3"/>
      <c r="T225" s="3"/>
      <c r="U225" s="3"/>
      <c r="V225" s="3"/>
      <c r="W225" s="3"/>
      <c r="X225" s="3"/>
      <c r="Y225" s="3"/>
    </row>
    <row r="226">
      <c r="A226" s="6"/>
      <c r="B226" s="6"/>
      <c r="C226" s="6"/>
      <c r="D226" s="6"/>
      <c r="E226" s="7"/>
      <c r="F226" s="6"/>
      <c r="G226" s="6"/>
      <c r="H226" s="6"/>
      <c r="I226" s="7"/>
      <c r="J226" s="7"/>
      <c r="K226" s="7"/>
      <c r="L226" s="3"/>
      <c r="M226" s="3"/>
      <c r="N226" s="3"/>
      <c r="O226" s="3"/>
      <c r="P226" s="3"/>
      <c r="Q226" s="3"/>
      <c r="R226" s="3"/>
      <c r="S226" s="3"/>
      <c r="T226" s="3"/>
      <c r="U226" s="3"/>
      <c r="V226" s="3"/>
      <c r="W226" s="3"/>
      <c r="X226" s="3"/>
      <c r="Y226" s="3"/>
    </row>
    <row r="227">
      <c r="A227" s="6"/>
      <c r="B227" s="6"/>
      <c r="C227" s="6"/>
      <c r="D227" s="6"/>
      <c r="E227" s="7"/>
      <c r="F227" s="6"/>
      <c r="G227" s="6"/>
      <c r="H227" s="6"/>
      <c r="I227" s="7"/>
      <c r="J227" s="7"/>
      <c r="K227" s="7"/>
      <c r="L227" s="3"/>
      <c r="M227" s="3"/>
      <c r="N227" s="3"/>
      <c r="O227" s="3"/>
      <c r="P227" s="3"/>
      <c r="Q227" s="3"/>
      <c r="R227" s="3"/>
      <c r="S227" s="3"/>
      <c r="T227" s="3"/>
      <c r="U227" s="3"/>
      <c r="V227" s="3"/>
      <c r="W227" s="3"/>
      <c r="X227" s="3"/>
      <c r="Y227" s="3"/>
    </row>
    <row r="228">
      <c r="A228" s="6"/>
      <c r="B228" s="6"/>
      <c r="C228" s="6"/>
      <c r="D228" s="6"/>
      <c r="E228" s="7"/>
      <c r="F228" s="6"/>
      <c r="G228" s="6"/>
      <c r="H228" s="6"/>
      <c r="I228" s="7"/>
      <c r="J228" s="7"/>
      <c r="K228" s="7"/>
      <c r="L228" s="3"/>
      <c r="M228" s="3"/>
      <c r="N228" s="3"/>
      <c r="O228" s="3"/>
      <c r="P228" s="3"/>
      <c r="Q228" s="3"/>
      <c r="R228" s="3"/>
      <c r="S228" s="3"/>
      <c r="T228" s="3"/>
      <c r="U228" s="3"/>
      <c r="V228" s="3"/>
      <c r="W228" s="3"/>
      <c r="X228" s="3"/>
      <c r="Y228" s="3"/>
    </row>
    <row r="229">
      <c r="A229" s="6"/>
      <c r="B229" s="6"/>
      <c r="C229" s="6"/>
      <c r="D229" s="6"/>
      <c r="E229" s="7"/>
      <c r="F229" s="6"/>
      <c r="G229" s="6"/>
      <c r="H229" s="6"/>
      <c r="I229" s="7"/>
      <c r="J229" s="7"/>
      <c r="K229" s="7"/>
      <c r="L229" s="3"/>
      <c r="M229" s="3"/>
      <c r="N229" s="3"/>
      <c r="O229" s="3"/>
      <c r="P229" s="3"/>
      <c r="Q229" s="3"/>
      <c r="R229" s="3"/>
      <c r="S229" s="3"/>
      <c r="T229" s="3"/>
      <c r="U229" s="3"/>
      <c r="V229" s="3"/>
      <c r="W229" s="3"/>
      <c r="X229" s="3"/>
      <c r="Y229" s="3"/>
    </row>
    <row r="230">
      <c r="A230" s="6"/>
      <c r="B230" s="6"/>
      <c r="C230" s="6"/>
      <c r="D230" s="6"/>
      <c r="E230" s="7"/>
      <c r="F230" s="6"/>
      <c r="G230" s="6"/>
      <c r="H230" s="6"/>
      <c r="I230" s="7"/>
      <c r="J230" s="7"/>
      <c r="K230" s="7"/>
      <c r="L230" s="3"/>
      <c r="M230" s="3"/>
      <c r="N230" s="3"/>
      <c r="O230" s="3"/>
      <c r="P230" s="3"/>
      <c r="Q230" s="3"/>
      <c r="R230" s="3"/>
      <c r="S230" s="3"/>
      <c r="T230" s="3"/>
      <c r="U230" s="3"/>
      <c r="V230" s="3"/>
      <c r="W230" s="3"/>
      <c r="X230" s="3"/>
      <c r="Y230" s="3"/>
    </row>
    <row r="231">
      <c r="A231" s="6"/>
      <c r="B231" s="6"/>
      <c r="C231" s="6"/>
      <c r="D231" s="6"/>
      <c r="E231" s="7"/>
      <c r="F231" s="6"/>
      <c r="G231" s="6"/>
      <c r="H231" s="6"/>
      <c r="I231" s="7"/>
      <c r="J231" s="7"/>
      <c r="K231" s="7"/>
      <c r="L231" s="3"/>
      <c r="M231" s="3"/>
      <c r="N231" s="3"/>
      <c r="O231" s="3"/>
      <c r="P231" s="3"/>
      <c r="Q231" s="3"/>
      <c r="R231" s="3"/>
      <c r="S231" s="3"/>
      <c r="T231" s="3"/>
      <c r="U231" s="3"/>
      <c r="V231" s="3"/>
      <c r="W231" s="3"/>
      <c r="X231" s="3"/>
      <c r="Y231" s="3"/>
    </row>
    <row r="232">
      <c r="A232" s="6"/>
      <c r="B232" s="6"/>
      <c r="C232" s="6"/>
      <c r="D232" s="6"/>
      <c r="E232" s="7"/>
      <c r="F232" s="6"/>
      <c r="G232" s="6"/>
      <c r="H232" s="6"/>
      <c r="I232" s="7"/>
      <c r="J232" s="7"/>
      <c r="K232" s="7"/>
      <c r="L232" s="3"/>
      <c r="M232" s="3"/>
      <c r="N232" s="3"/>
      <c r="O232" s="3"/>
      <c r="P232" s="3"/>
      <c r="Q232" s="3"/>
      <c r="R232" s="3"/>
      <c r="S232" s="3"/>
      <c r="T232" s="3"/>
      <c r="U232" s="3"/>
      <c r="V232" s="3"/>
      <c r="W232" s="3"/>
      <c r="X232" s="3"/>
      <c r="Y232" s="3"/>
    </row>
    <row r="233">
      <c r="A233" s="6"/>
      <c r="B233" s="6"/>
      <c r="C233" s="6"/>
      <c r="D233" s="6"/>
      <c r="E233" s="7"/>
      <c r="F233" s="6"/>
      <c r="G233" s="6"/>
      <c r="H233" s="6"/>
      <c r="I233" s="7"/>
      <c r="J233" s="7"/>
      <c r="K233" s="7"/>
      <c r="L233" s="3"/>
      <c r="M233" s="3"/>
      <c r="N233" s="3"/>
      <c r="O233" s="3"/>
      <c r="P233" s="3"/>
      <c r="Q233" s="3"/>
      <c r="R233" s="3"/>
      <c r="S233" s="3"/>
      <c r="T233" s="3"/>
      <c r="U233" s="3"/>
      <c r="V233" s="3"/>
      <c r="W233" s="3"/>
      <c r="X233" s="3"/>
      <c r="Y233" s="3"/>
    </row>
    <row r="234">
      <c r="A234" s="6"/>
      <c r="B234" s="6"/>
      <c r="C234" s="6"/>
      <c r="D234" s="6"/>
      <c r="E234" s="7"/>
      <c r="F234" s="6"/>
      <c r="G234" s="6"/>
      <c r="H234" s="6"/>
      <c r="I234" s="7"/>
      <c r="J234" s="7"/>
      <c r="K234" s="7"/>
      <c r="L234" s="3"/>
      <c r="M234" s="3"/>
      <c r="N234" s="3"/>
      <c r="O234" s="3"/>
      <c r="P234" s="3"/>
      <c r="Q234" s="3"/>
      <c r="R234" s="3"/>
      <c r="S234" s="3"/>
      <c r="T234" s="3"/>
      <c r="U234" s="3"/>
      <c r="V234" s="3"/>
      <c r="W234" s="3"/>
      <c r="X234" s="3"/>
      <c r="Y234" s="3"/>
    </row>
    <row r="235">
      <c r="A235" s="6"/>
      <c r="B235" s="6"/>
      <c r="C235" s="6"/>
      <c r="D235" s="6"/>
      <c r="E235" s="7"/>
      <c r="F235" s="6"/>
      <c r="G235" s="6"/>
      <c r="H235" s="6"/>
      <c r="I235" s="7"/>
      <c r="J235" s="7"/>
      <c r="K235" s="7"/>
      <c r="L235" s="3"/>
      <c r="M235" s="3"/>
      <c r="N235" s="3"/>
      <c r="O235" s="3"/>
      <c r="P235" s="3"/>
      <c r="Q235" s="3"/>
      <c r="R235" s="3"/>
      <c r="S235" s="3"/>
      <c r="T235" s="3"/>
      <c r="U235" s="3"/>
      <c r="V235" s="3"/>
      <c r="W235" s="3"/>
      <c r="X235" s="3"/>
      <c r="Y235" s="3"/>
    </row>
    <row r="236">
      <c r="A236" s="6"/>
      <c r="B236" s="6"/>
      <c r="C236" s="6"/>
      <c r="D236" s="6"/>
      <c r="E236" s="7"/>
      <c r="F236" s="6"/>
      <c r="G236" s="6"/>
      <c r="H236" s="6"/>
      <c r="I236" s="7"/>
      <c r="J236" s="7"/>
      <c r="K236" s="7"/>
      <c r="L236" s="3"/>
      <c r="M236" s="3"/>
      <c r="N236" s="3"/>
      <c r="O236" s="3"/>
      <c r="P236" s="3"/>
      <c r="Q236" s="3"/>
      <c r="R236" s="3"/>
      <c r="S236" s="3"/>
      <c r="T236" s="3"/>
      <c r="U236" s="3"/>
      <c r="V236" s="3"/>
      <c r="W236" s="3"/>
      <c r="X236" s="3"/>
      <c r="Y236" s="3"/>
    </row>
    <row r="237">
      <c r="A237" s="6"/>
      <c r="B237" s="6"/>
      <c r="C237" s="6"/>
      <c r="D237" s="6"/>
      <c r="E237" s="7"/>
      <c r="F237" s="6"/>
      <c r="G237" s="6"/>
      <c r="H237" s="6"/>
      <c r="I237" s="7"/>
      <c r="J237" s="7"/>
      <c r="K237" s="7"/>
      <c r="L237" s="3"/>
      <c r="M237" s="3"/>
      <c r="N237" s="3"/>
      <c r="O237" s="3"/>
      <c r="P237" s="3"/>
      <c r="Q237" s="3"/>
      <c r="R237" s="3"/>
      <c r="S237" s="3"/>
      <c r="T237" s="3"/>
      <c r="U237" s="3"/>
      <c r="V237" s="3"/>
      <c r="W237" s="3"/>
      <c r="X237" s="3"/>
      <c r="Y237" s="3"/>
    </row>
    <row r="238">
      <c r="A238" s="6"/>
      <c r="B238" s="6"/>
      <c r="C238" s="6"/>
      <c r="D238" s="6"/>
      <c r="E238" s="7"/>
      <c r="F238" s="6"/>
      <c r="G238" s="6"/>
      <c r="H238" s="6"/>
      <c r="I238" s="7"/>
      <c r="J238" s="7"/>
      <c r="K238" s="7"/>
      <c r="L238" s="3"/>
      <c r="M238" s="3"/>
      <c r="N238" s="3"/>
      <c r="O238" s="3"/>
      <c r="P238" s="3"/>
      <c r="Q238" s="3"/>
      <c r="R238" s="3"/>
      <c r="S238" s="3"/>
      <c r="T238" s="3"/>
      <c r="U238" s="3"/>
      <c r="V238" s="3"/>
      <c r="W238" s="3"/>
      <c r="X238" s="3"/>
      <c r="Y238" s="3"/>
    </row>
    <row r="239">
      <c r="A239" s="5"/>
      <c r="B239" s="5"/>
      <c r="C239" s="5"/>
      <c r="D239" s="5"/>
      <c r="E239" s="3"/>
      <c r="F239" s="5"/>
      <c r="G239" s="5"/>
      <c r="H239" s="5"/>
      <c r="I239" s="3"/>
      <c r="J239" s="3"/>
      <c r="K239" s="3"/>
      <c r="L239" s="3"/>
      <c r="M239" s="3"/>
      <c r="N239" s="3"/>
      <c r="O239" s="3"/>
      <c r="P239" s="3"/>
      <c r="Q239" s="3"/>
      <c r="R239" s="3"/>
      <c r="S239" s="3"/>
      <c r="T239" s="3"/>
      <c r="U239" s="3"/>
      <c r="V239" s="3"/>
      <c r="W239" s="3"/>
      <c r="X239" s="3"/>
      <c r="Y239" s="3"/>
    </row>
    <row r="240">
      <c r="A240" s="5"/>
      <c r="B240" s="5"/>
      <c r="C240" s="5"/>
      <c r="D240" s="5"/>
      <c r="E240" s="3"/>
      <c r="F240" s="5"/>
      <c r="G240" s="5"/>
      <c r="H240" s="5"/>
      <c r="I240" s="3"/>
      <c r="J240" s="3"/>
      <c r="K240" s="3"/>
      <c r="L240" s="3"/>
      <c r="M240" s="3"/>
      <c r="N240" s="3"/>
      <c r="O240" s="3"/>
      <c r="P240" s="3"/>
      <c r="Q240" s="3"/>
      <c r="R240" s="3"/>
      <c r="S240" s="3"/>
      <c r="T240" s="3"/>
      <c r="U240" s="3"/>
      <c r="V240" s="3"/>
      <c r="W240" s="3"/>
      <c r="X240" s="3"/>
      <c r="Y240" s="3"/>
    </row>
    <row r="241">
      <c r="A241" s="5"/>
      <c r="B241" s="5"/>
      <c r="C241" s="5"/>
      <c r="D241" s="5"/>
      <c r="E241" s="3"/>
      <c r="F241" s="5"/>
      <c r="G241" s="5"/>
      <c r="H241" s="5"/>
      <c r="I241" s="3"/>
      <c r="J241" s="3"/>
      <c r="K241" s="3"/>
      <c r="L241" s="3"/>
      <c r="M241" s="3"/>
      <c r="N241" s="3"/>
      <c r="O241" s="3"/>
      <c r="P241" s="3"/>
      <c r="Q241" s="3"/>
      <c r="R241" s="3"/>
      <c r="S241" s="3"/>
      <c r="T241" s="3"/>
      <c r="U241" s="3"/>
      <c r="V241" s="3"/>
      <c r="W241" s="3"/>
      <c r="X241" s="3"/>
      <c r="Y241" s="3"/>
    </row>
    <row r="242">
      <c r="A242" s="5"/>
      <c r="B242" s="5"/>
      <c r="C242" s="5"/>
      <c r="D242" s="5"/>
      <c r="E242" s="3"/>
      <c r="F242" s="5"/>
      <c r="G242" s="5"/>
      <c r="H242" s="5"/>
      <c r="I242" s="3"/>
      <c r="J242" s="3"/>
      <c r="K242" s="3"/>
      <c r="L242" s="3"/>
      <c r="M242" s="3"/>
      <c r="N242" s="3"/>
      <c r="O242" s="3"/>
      <c r="P242" s="3"/>
      <c r="Q242" s="3"/>
      <c r="R242" s="3"/>
      <c r="S242" s="3"/>
      <c r="T242" s="3"/>
      <c r="U242" s="3"/>
      <c r="V242" s="3"/>
      <c r="W242" s="3"/>
      <c r="X242" s="3"/>
      <c r="Y242" s="3"/>
    </row>
    <row r="243">
      <c r="A243" s="5"/>
      <c r="B243" s="5"/>
      <c r="C243" s="5"/>
      <c r="D243" s="5"/>
      <c r="E243" s="3"/>
      <c r="F243" s="5"/>
      <c r="G243" s="5"/>
      <c r="H243" s="5"/>
      <c r="I243" s="3"/>
      <c r="J243" s="3"/>
      <c r="K243" s="3"/>
      <c r="L243" s="3"/>
      <c r="M243" s="3"/>
      <c r="N243" s="3"/>
      <c r="O243" s="3"/>
      <c r="P243" s="3"/>
      <c r="Q243" s="3"/>
      <c r="R243" s="3"/>
      <c r="S243" s="3"/>
      <c r="T243" s="3"/>
      <c r="U243" s="3"/>
      <c r="V243" s="3"/>
      <c r="W243" s="3"/>
      <c r="X243" s="3"/>
      <c r="Y243" s="3"/>
    </row>
    <row r="244">
      <c r="A244" s="5"/>
      <c r="B244" s="5"/>
      <c r="C244" s="5"/>
      <c r="D244" s="5"/>
      <c r="E244" s="3"/>
      <c r="F244" s="5"/>
      <c r="G244" s="5"/>
      <c r="H244" s="5"/>
      <c r="I244" s="3"/>
      <c r="J244" s="3"/>
      <c r="K244" s="3"/>
      <c r="L244" s="3"/>
      <c r="M244" s="3"/>
      <c r="N244" s="3"/>
      <c r="O244" s="3"/>
      <c r="P244" s="3"/>
      <c r="Q244" s="3"/>
      <c r="R244" s="3"/>
      <c r="S244" s="3"/>
      <c r="T244" s="3"/>
      <c r="U244" s="3"/>
      <c r="V244" s="3"/>
      <c r="W244" s="3"/>
      <c r="X244" s="3"/>
      <c r="Y244" s="3"/>
    </row>
    <row r="245">
      <c r="A245" s="5"/>
      <c r="B245" s="5"/>
      <c r="C245" s="5"/>
      <c r="D245" s="5"/>
      <c r="E245" s="3"/>
      <c r="F245" s="5"/>
      <c r="G245" s="5"/>
      <c r="H245" s="5"/>
      <c r="I245" s="3"/>
      <c r="J245" s="3"/>
      <c r="K245" s="3"/>
      <c r="L245" s="3"/>
      <c r="M245" s="3"/>
      <c r="N245" s="3"/>
      <c r="O245" s="3"/>
      <c r="P245" s="3"/>
      <c r="Q245" s="3"/>
      <c r="R245" s="3"/>
      <c r="S245" s="3"/>
      <c r="T245" s="3"/>
      <c r="U245" s="3"/>
      <c r="V245" s="3"/>
      <c r="W245" s="3"/>
      <c r="X245" s="3"/>
      <c r="Y245" s="3"/>
    </row>
    <row r="246">
      <c r="A246" s="5"/>
      <c r="B246" s="5"/>
      <c r="C246" s="5"/>
      <c r="D246" s="5"/>
      <c r="E246" s="3"/>
      <c r="F246" s="5"/>
      <c r="G246" s="5"/>
      <c r="H246" s="5"/>
      <c r="I246" s="3"/>
      <c r="J246" s="3"/>
      <c r="K246" s="3"/>
      <c r="L246" s="3"/>
      <c r="M246" s="3"/>
      <c r="N246" s="3"/>
      <c r="O246" s="3"/>
      <c r="P246" s="3"/>
      <c r="Q246" s="3"/>
      <c r="R246" s="3"/>
      <c r="S246" s="3"/>
      <c r="T246" s="3"/>
      <c r="U246" s="3"/>
      <c r="V246" s="3"/>
      <c r="W246" s="3"/>
      <c r="X246" s="3"/>
      <c r="Y246" s="3"/>
    </row>
    <row r="247">
      <c r="A247" s="5"/>
      <c r="B247" s="5"/>
      <c r="C247" s="5"/>
      <c r="D247" s="5"/>
      <c r="E247" s="3"/>
      <c r="F247" s="5"/>
      <c r="G247" s="5"/>
      <c r="H247" s="5"/>
      <c r="I247" s="3"/>
      <c r="J247" s="3"/>
      <c r="K247" s="3"/>
      <c r="L247" s="3"/>
      <c r="M247" s="3"/>
      <c r="N247" s="3"/>
      <c r="O247" s="3"/>
      <c r="P247" s="3"/>
      <c r="Q247" s="3"/>
      <c r="R247" s="3"/>
      <c r="S247" s="3"/>
      <c r="T247" s="3"/>
      <c r="U247" s="3"/>
      <c r="V247" s="3"/>
      <c r="W247" s="3"/>
      <c r="X247" s="3"/>
      <c r="Y247" s="3"/>
    </row>
    <row r="248">
      <c r="A248" s="5"/>
      <c r="B248" s="5"/>
      <c r="C248" s="5"/>
      <c r="D248" s="5"/>
      <c r="E248" s="3"/>
      <c r="F248" s="5"/>
      <c r="G248" s="5"/>
      <c r="H248" s="5"/>
      <c r="I248" s="3"/>
      <c r="J248" s="3"/>
      <c r="K248" s="3"/>
      <c r="L248" s="3"/>
      <c r="M248" s="3"/>
      <c r="N248" s="3"/>
      <c r="O248" s="3"/>
      <c r="P248" s="3"/>
      <c r="Q248" s="3"/>
      <c r="R248" s="3"/>
      <c r="S248" s="3"/>
      <c r="T248" s="3"/>
      <c r="U248" s="3"/>
      <c r="V248" s="3"/>
      <c r="W248" s="3"/>
      <c r="X248" s="3"/>
      <c r="Y248" s="3"/>
    </row>
    <row r="249">
      <c r="A249" s="5"/>
      <c r="B249" s="5"/>
      <c r="C249" s="5"/>
      <c r="D249" s="5"/>
      <c r="E249" s="3"/>
      <c r="F249" s="5"/>
      <c r="G249" s="5"/>
      <c r="H249" s="5"/>
      <c r="I249" s="3"/>
      <c r="J249" s="3"/>
      <c r="K249" s="3"/>
      <c r="L249" s="3"/>
      <c r="M249" s="3"/>
      <c r="N249" s="3"/>
      <c r="O249" s="3"/>
      <c r="P249" s="3"/>
      <c r="Q249" s="3"/>
      <c r="R249" s="3"/>
      <c r="S249" s="3"/>
      <c r="T249" s="3"/>
      <c r="U249" s="3"/>
      <c r="V249" s="3"/>
      <c r="W249" s="3"/>
      <c r="X249" s="3"/>
      <c r="Y249" s="3"/>
    </row>
    <row r="250">
      <c r="A250" s="5"/>
      <c r="B250" s="5"/>
      <c r="C250" s="5"/>
      <c r="D250" s="5"/>
      <c r="E250" s="3"/>
      <c r="F250" s="5"/>
      <c r="G250" s="5"/>
      <c r="H250" s="5"/>
      <c r="I250" s="3"/>
      <c r="J250" s="3"/>
      <c r="K250" s="3"/>
      <c r="L250" s="3"/>
      <c r="M250" s="3"/>
      <c r="N250" s="3"/>
      <c r="O250" s="3"/>
      <c r="P250" s="3"/>
      <c r="Q250" s="3"/>
      <c r="R250" s="3"/>
      <c r="S250" s="3"/>
      <c r="T250" s="3"/>
      <c r="U250" s="3"/>
      <c r="V250" s="3"/>
      <c r="W250" s="3"/>
      <c r="X250" s="3"/>
      <c r="Y250" s="3"/>
    </row>
    <row r="251">
      <c r="A251" s="5"/>
      <c r="B251" s="5"/>
      <c r="C251" s="5"/>
      <c r="D251" s="5"/>
      <c r="E251" s="3"/>
      <c r="F251" s="5"/>
      <c r="G251" s="5"/>
      <c r="H251" s="5"/>
      <c r="I251" s="3"/>
      <c r="J251" s="3"/>
      <c r="K251" s="3"/>
      <c r="L251" s="3"/>
      <c r="M251" s="3"/>
      <c r="N251" s="3"/>
      <c r="O251" s="3"/>
      <c r="P251" s="3"/>
      <c r="Q251" s="3"/>
      <c r="R251" s="3"/>
      <c r="S251" s="3"/>
      <c r="T251" s="3"/>
      <c r="U251" s="3"/>
      <c r="V251" s="3"/>
      <c r="W251" s="3"/>
      <c r="X251" s="3"/>
      <c r="Y251" s="3"/>
    </row>
    <row r="252">
      <c r="A252" s="5"/>
      <c r="B252" s="5"/>
      <c r="C252" s="5"/>
      <c r="D252" s="5"/>
      <c r="E252" s="3"/>
      <c r="F252" s="5"/>
      <c r="G252" s="5"/>
      <c r="H252" s="5"/>
      <c r="I252" s="3"/>
      <c r="J252" s="3"/>
      <c r="K252" s="3"/>
      <c r="L252" s="3"/>
      <c r="M252" s="3"/>
      <c r="N252" s="3"/>
      <c r="O252" s="3"/>
      <c r="P252" s="3"/>
      <c r="Q252" s="3"/>
      <c r="R252" s="3"/>
      <c r="S252" s="3"/>
      <c r="T252" s="3"/>
      <c r="U252" s="3"/>
      <c r="V252" s="3"/>
      <c r="W252" s="3"/>
      <c r="X252" s="3"/>
      <c r="Y252" s="3"/>
    </row>
    <row r="253">
      <c r="A253" s="5"/>
      <c r="B253" s="5"/>
      <c r="C253" s="5"/>
      <c r="D253" s="5"/>
      <c r="E253" s="3"/>
      <c r="F253" s="5"/>
      <c r="G253" s="5"/>
      <c r="H253" s="5"/>
      <c r="I253" s="3"/>
      <c r="J253" s="3"/>
      <c r="K253" s="3"/>
      <c r="L253" s="3"/>
      <c r="M253" s="3"/>
      <c r="N253" s="3"/>
      <c r="O253" s="3"/>
      <c r="P253" s="3"/>
      <c r="Q253" s="3"/>
      <c r="R253" s="3"/>
      <c r="S253" s="3"/>
      <c r="T253" s="3"/>
      <c r="U253" s="3"/>
      <c r="V253" s="3"/>
      <c r="W253" s="3"/>
      <c r="X253" s="3"/>
      <c r="Y253" s="3"/>
    </row>
    <row r="254">
      <c r="A254" s="5"/>
      <c r="B254" s="5"/>
      <c r="C254" s="5"/>
      <c r="D254" s="5"/>
      <c r="E254" s="3"/>
      <c r="F254" s="5"/>
      <c r="G254" s="5"/>
      <c r="H254" s="5"/>
      <c r="I254" s="3"/>
      <c r="J254" s="3"/>
      <c r="K254" s="3"/>
      <c r="L254" s="3"/>
      <c r="M254" s="3"/>
      <c r="N254" s="3"/>
      <c r="O254" s="3"/>
      <c r="P254" s="3"/>
      <c r="Q254" s="3"/>
      <c r="R254" s="3"/>
      <c r="S254" s="3"/>
      <c r="T254" s="3"/>
      <c r="U254" s="3"/>
      <c r="V254" s="3"/>
      <c r="W254" s="3"/>
      <c r="X254" s="3"/>
      <c r="Y254" s="3"/>
    </row>
    <row r="255">
      <c r="A255" s="5"/>
      <c r="B255" s="5"/>
      <c r="C255" s="5"/>
      <c r="D255" s="5"/>
      <c r="E255" s="3"/>
      <c r="F255" s="5"/>
      <c r="G255" s="5"/>
      <c r="H255" s="5"/>
      <c r="I255" s="3"/>
      <c r="J255" s="3"/>
      <c r="K255" s="3"/>
      <c r="L255" s="3"/>
      <c r="M255" s="3"/>
      <c r="N255" s="3"/>
      <c r="O255" s="3"/>
      <c r="P255" s="3"/>
      <c r="Q255" s="3"/>
      <c r="R255" s="3"/>
      <c r="S255" s="3"/>
      <c r="T255" s="3"/>
      <c r="U255" s="3"/>
      <c r="V255" s="3"/>
      <c r="W255" s="3"/>
      <c r="X255" s="3"/>
      <c r="Y255" s="3"/>
    </row>
    <row r="256">
      <c r="A256" s="5"/>
      <c r="B256" s="5"/>
      <c r="C256" s="5"/>
      <c r="D256" s="5"/>
      <c r="E256" s="3"/>
      <c r="F256" s="5"/>
      <c r="G256" s="5"/>
      <c r="H256" s="5"/>
      <c r="I256" s="3"/>
      <c r="J256" s="3"/>
      <c r="K256" s="3"/>
      <c r="L256" s="3"/>
      <c r="M256" s="3"/>
      <c r="N256" s="3"/>
      <c r="O256" s="3"/>
      <c r="P256" s="3"/>
      <c r="Q256" s="3"/>
      <c r="R256" s="3"/>
      <c r="S256" s="3"/>
      <c r="T256" s="3"/>
      <c r="U256" s="3"/>
      <c r="V256" s="3"/>
      <c r="W256" s="3"/>
      <c r="X256" s="3"/>
      <c r="Y256" s="3"/>
    </row>
    <row r="257">
      <c r="A257" s="5"/>
      <c r="B257" s="5"/>
      <c r="C257" s="5"/>
      <c r="D257" s="5"/>
      <c r="E257" s="3"/>
      <c r="F257" s="5"/>
      <c r="G257" s="5"/>
      <c r="H257" s="5"/>
      <c r="I257" s="3"/>
      <c r="J257" s="3"/>
      <c r="K257" s="3"/>
      <c r="L257" s="3"/>
      <c r="M257" s="3"/>
      <c r="N257" s="3"/>
      <c r="O257" s="3"/>
      <c r="P257" s="3"/>
      <c r="Q257" s="3"/>
      <c r="R257" s="3"/>
      <c r="S257" s="3"/>
      <c r="T257" s="3"/>
      <c r="U257" s="3"/>
      <c r="V257" s="3"/>
      <c r="W257" s="3"/>
      <c r="X257" s="3"/>
      <c r="Y257" s="3"/>
    </row>
    <row r="258">
      <c r="A258" s="5"/>
      <c r="B258" s="5"/>
      <c r="C258" s="5"/>
      <c r="D258" s="5"/>
      <c r="E258" s="3"/>
      <c r="F258" s="5"/>
      <c r="G258" s="5"/>
      <c r="H258" s="5"/>
      <c r="I258" s="3"/>
      <c r="J258" s="3"/>
      <c r="K258" s="3"/>
      <c r="L258" s="3"/>
      <c r="M258" s="3"/>
      <c r="N258" s="3"/>
      <c r="O258" s="3"/>
      <c r="P258" s="3"/>
      <c r="Q258" s="3"/>
      <c r="R258" s="3"/>
      <c r="S258" s="3"/>
      <c r="T258" s="3"/>
      <c r="U258" s="3"/>
      <c r="V258" s="3"/>
      <c r="W258" s="3"/>
      <c r="X258" s="3"/>
      <c r="Y258" s="3"/>
    </row>
    <row r="259">
      <c r="A259" s="5"/>
      <c r="B259" s="5"/>
      <c r="C259" s="5"/>
      <c r="D259" s="5"/>
      <c r="E259" s="3"/>
      <c r="F259" s="5"/>
      <c r="G259" s="5"/>
      <c r="H259" s="5"/>
      <c r="I259" s="3"/>
      <c r="J259" s="3"/>
      <c r="K259" s="3"/>
      <c r="L259" s="3"/>
      <c r="M259" s="3"/>
      <c r="N259" s="3"/>
      <c r="O259" s="3"/>
      <c r="P259" s="3"/>
      <c r="Q259" s="3"/>
      <c r="R259" s="3"/>
      <c r="S259" s="3"/>
      <c r="T259" s="3"/>
      <c r="U259" s="3"/>
      <c r="V259" s="3"/>
      <c r="W259" s="3"/>
      <c r="X259" s="3"/>
      <c r="Y259" s="3"/>
    </row>
    <row r="260">
      <c r="A260" s="5"/>
      <c r="B260" s="5"/>
      <c r="C260" s="5"/>
      <c r="D260" s="5"/>
      <c r="E260" s="3"/>
      <c r="F260" s="5"/>
      <c r="G260" s="5"/>
      <c r="H260" s="5"/>
      <c r="I260" s="3"/>
      <c r="J260" s="3"/>
      <c r="K260" s="3"/>
      <c r="L260" s="3"/>
      <c r="M260" s="3"/>
      <c r="N260" s="3"/>
      <c r="O260" s="3"/>
      <c r="P260" s="3"/>
      <c r="Q260" s="3"/>
      <c r="R260" s="3"/>
      <c r="S260" s="3"/>
      <c r="T260" s="3"/>
      <c r="U260" s="3"/>
      <c r="V260" s="3"/>
      <c r="W260" s="3"/>
      <c r="X260" s="3"/>
      <c r="Y260" s="3"/>
    </row>
    <row r="261">
      <c r="A261" s="5"/>
      <c r="B261" s="5"/>
      <c r="C261" s="5"/>
      <c r="D261" s="5"/>
      <c r="E261" s="3"/>
      <c r="F261" s="5"/>
      <c r="G261" s="5"/>
      <c r="H261" s="5"/>
      <c r="I261" s="3"/>
      <c r="J261" s="3"/>
      <c r="K261" s="3"/>
      <c r="L261" s="3"/>
      <c r="M261" s="3"/>
      <c r="N261" s="3"/>
      <c r="O261" s="3"/>
      <c r="P261" s="3"/>
      <c r="Q261" s="3"/>
      <c r="R261" s="3"/>
      <c r="S261" s="3"/>
      <c r="T261" s="3"/>
      <c r="U261" s="3"/>
      <c r="V261" s="3"/>
      <c r="W261" s="3"/>
      <c r="X261" s="3"/>
      <c r="Y261" s="3"/>
    </row>
    <row r="262">
      <c r="A262" s="5"/>
      <c r="B262" s="5"/>
      <c r="C262" s="5"/>
      <c r="D262" s="5"/>
      <c r="E262" s="3"/>
      <c r="F262" s="5"/>
      <c r="G262" s="5"/>
      <c r="H262" s="5"/>
      <c r="I262" s="3"/>
      <c r="J262" s="3"/>
      <c r="K262" s="3"/>
      <c r="L262" s="3"/>
      <c r="M262" s="3"/>
      <c r="N262" s="3"/>
      <c r="O262" s="3"/>
      <c r="P262" s="3"/>
      <c r="Q262" s="3"/>
      <c r="R262" s="3"/>
      <c r="S262" s="3"/>
      <c r="T262" s="3"/>
      <c r="U262" s="3"/>
      <c r="V262" s="3"/>
      <c r="W262" s="3"/>
      <c r="X262" s="3"/>
      <c r="Y262" s="3"/>
    </row>
    <row r="263">
      <c r="A263" s="5"/>
      <c r="B263" s="5"/>
      <c r="C263" s="5"/>
      <c r="D263" s="5"/>
      <c r="E263" s="3"/>
      <c r="F263" s="5"/>
      <c r="G263" s="5"/>
      <c r="H263" s="5"/>
      <c r="I263" s="3"/>
      <c r="J263" s="3"/>
      <c r="K263" s="3"/>
      <c r="L263" s="3"/>
      <c r="M263" s="3"/>
      <c r="N263" s="3"/>
      <c r="O263" s="3"/>
      <c r="P263" s="3"/>
      <c r="Q263" s="3"/>
      <c r="R263" s="3"/>
      <c r="S263" s="3"/>
      <c r="T263" s="3"/>
      <c r="U263" s="3"/>
      <c r="V263" s="3"/>
      <c r="W263" s="3"/>
      <c r="X263" s="3"/>
      <c r="Y263" s="3"/>
    </row>
    <row r="264">
      <c r="A264" s="5"/>
      <c r="B264" s="5"/>
      <c r="C264" s="5"/>
      <c r="D264" s="5"/>
      <c r="E264" s="3"/>
      <c r="F264" s="5"/>
      <c r="G264" s="5"/>
      <c r="H264" s="5"/>
      <c r="I264" s="3"/>
      <c r="J264" s="3"/>
      <c r="K264" s="3"/>
      <c r="L264" s="3"/>
      <c r="M264" s="3"/>
      <c r="N264" s="3"/>
      <c r="O264" s="3"/>
      <c r="P264" s="3"/>
      <c r="Q264" s="3"/>
      <c r="R264" s="3"/>
      <c r="S264" s="3"/>
      <c r="T264" s="3"/>
      <c r="U264" s="3"/>
      <c r="V264" s="3"/>
      <c r="W264" s="3"/>
      <c r="X264" s="3"/>
      <c r="Y264" s="3"/>
    </row>
    <row r="265">
      <c r="A265" s="5"/>
      <c r="B265" s="5"/>
      <c r="C265" s="5"/>
      <c r="D265" s="5"/>
      <c r="E265" s="3"/>
      <c r="F265" s="5"/>
      <c r="G265" s="5"/>
      <c r="H265" s="5"/>
      <c r="I265" s="3"/>
      <c r="J265" s="3"/>
      <c r="K265" s="3"/>
      <c r="L265" s="3"/>
      <c r="M265" s="3"/>
      <c r="N265" s="3"/>
      <c r="O265" s="3"/>
      <c r="P265" s="3"/>
      <c r="Q265" s="3"/>
      <c r="R265" s="3"/>
      <c r="S265" s="3"/>
      <c r="T265" s="3"/>
      <c r="U265" s="3"/>
      <c r="V265" s="3"/>
      <c r="W265" s="3"/>
      <c r="X265" s="3"/>
      <c r="Y265" s="3"/>
    </row>
    <row r="266">
      <c r="A266" s="5"/>
      <c r="B266" s="5"/>
      <c r="C266" s="5"/>
      <c r="D266" s="5"/>
      <c r="E266" s="3"/>
      <c r="F266" s="5"/>
      <c r="G266" s="5"/>
      <c r="H266" s="5"/>
      <c r="I266" s="3"/>
      <c r="J266" s="3"/>
      <c r="K266" s="3"/>
      <c r="L266" s="3"/>
      <c r="M266" s="3"/>
      <c r="N266" s="3"/>
      <c r="O266" s="3"/>
      <c r="P266" s="3"/>
      <c r="Q266" s="3"/>
      <c r="R266" s="3"/>
      <c r="S266" s="3"/>
      <c r="T266" s="3"/>
      <c r="U266" s="3"/>
      <c r="V266" s="3"/>
      <c r="W266" s="3"/>
      <c r="X266" s="3"/>
      <c r="Y266" s="3"/>
    </row>
    <row r="267">
      <c r="A267" s="5"/>
      <c r="B267" s="5"/>
      <c r="C267" s="5"/>
      <c r="D267" s="5"/>
      <c r="E267" s="3"/>
      <c r="F267" s="5"/>
      <c r="G267" s="5"/>
      <c r="H267" s="5"/>
      <c r="I267" s="3"/>
      <c r="J267" s="3"/>
      <c r="K267" s="3"/>
      <c r="L267" s="3"/>
      <c r="M267" s="3"/>
      <c r="N267" s="3"/>
      <c r="O267" s="3"/>
      <c r="P267" s="3"/>
      <c r="Q267" s="3"/>
      <c r="R267" s="3"/>
      <c r="S267" s="3"/>
      <c r="T267" s="3"/>
      <c r="U267" s="3"/>
      <c r="V267" s="3"/>
      <c r="W267" s="3"/>
      <c r="X267" s="3"/>
      <c r="Y267" s="3"/>
    </row>
    <row r="268">
      <c r="A268" s="5"/>
      <c r="B268" s="5"/>
      <c r="C268" s="5"/>
      <c r="D268" s="5"/>
      <c r="E268" s="3"/>
      <c r="F268" s="5"/>
      <c r="G268" s="5"/>
      <c r="H268" s="5"/>
      <c r="I268" s="3"/>
      <c r="J268" s="3"/>
      <c r="K268" s="3"/>
      <c r="L268" s="3"/>
      <c r="M268" s="3"/>
      <c r="N268" s="3"/>
      <c r="O268" s="3"/>
      <c r="P268" s="3"/>
      <c r="Q268" s="3"/>
      <c r="R268" s="3"/>
      <c r="S268" s="3"/>
      <c r="T268" s="3"/>
      <c r="U268" s="3"/>
      <c r="V268" s="3"/>
      <c r="W268" s="3"/>
      <c r="X268" s="3"/>
      <c r="Y268" s="3"/>
    </row>
    <row r="269">
      <c r="A269" s="5"/>
      <c r="B269" s="5"/>
      <c r="C269" s="5"/>
      <c r="D269" s="5"/>
      <c r="E269" s="3"/>
      <c r="F269" s="5"/>
      <c r="G269" s="5"/>
      <c r="H269" s="5"/>
      <c r="I269" s="3"/>
      <c r="J269" s="3"/>
      <c r="K269" s="3"/>
      <c r="L269" s="3"/>
      <c r="M269" s="3"/>
      <c r="N269" s="3"/>
      <c r="O269" s="3"/>
      <c r="P269" s="3"/>
      <c r="Q269" s="3"/>
      <c r="R269" s="3"/>
      <c r="S269" s="3"/>
      <c r="T269" s="3"/>
      <c r="U269" s="3"/>
      <c r="V269" s="3"/>
      <c r="W269" s="3"/>
      <c r="X269" s="3"/>
      <c r="Y269" s="3"/>
    </row>
    <row r="270">
      <c r="A270" s="5"/>
      <c r="B270" s="5"/>
      <c r="C270" s="5"/>
      <c r="D270" s="5"/>
      <c r="E270" s="3"/>
      <c r="F270" s="5"/>
      <c r="G270" s="5"/>
      <c r="H270" s="5"/>
      <c r="I270" s="3"/>
      <c r="J270" s="3"/>
      <c r="K270" s="3"/>
      <c r="L270" s="3"/>
      <c r="M270" s="3"/>
      <c r="N270" s="3"/>
      <c r="O270" s="3"/>
      <c r="P270" s="3"/>
      <c r="Q270" s="3"/>
      <c r="R270" s="3"/>
      <c r="S270" s="3"/>
      <c r="T270" s="3"/>
      <c r="U270" s="3"/>
      <c r="V270" s="3"/>
      <c r="W270" s="3"/>
      <c r="X270" s="3"/>
      <c r="Y270" s="3"/>
    </row>
    <row r="271">
      <c r="A271" s="5"/>
      <c r="B271" s="5"/>
      <c r="C271" s="5"/>
      <c r="D271" s="5"/>
      <c r="E271" s="3"/>
      <c r="F271" s="5"/>
      <c r="G271" s="5"/>
      <c r="H271" s="5"/>
      <c r="I271" s="3"/>
      <c r="J271" s="3"/>
      <c r="K271" s="3"/>
      <c r="L271" s="3"/>
      <c r="M271" s="3"/>
      <c r="N271" s="3"/>
      <c r="O271" s="3"/>
      <c r="P271" s="3"/>
      <c r="Q271" s="3"/>
      <c r="R271" s="3"/>
      <c r="S271" s="3"/>
      <c r="T271" s="3"/>
      <c r="U271" s="3"/>
      <c r="V271" s="3"/>
      <c r="W271" s="3"/>
      <c r="X271" s="3"/>
      <c r="Y271" s="3"/>
    </row>
    <row r="272">
      <c r="A272" s="5"/>
      <c r="B272" s="5"/>
      <c r="C272" s="5"/>
      <c r="D272" s="5"/>
      <c r="E272" s="3"/>
      <c r="F272" s="5"/>
      <c r="G272" s="5"/>
      <c r="H272" s="5"/>
      <c r="I272" s="3"/>
      <c r="J272" s="3"/>
      <c r="K272" s="3"/>
      <c r="L272" s="3"/>
      <c r="M272" s="3"/>
      <c r="N272" s="3"/>
      <c r="O272" s="3"/>
      <c r="P272" s="3"/>
      <c r="Q272" s="3"/>
      <c r="R272" s="3"/>
      <c r="S272" s="3"/>
      <c r="T272" s="3"/>
      <c r="U272" s="3"/>
      <c r="V272" s="3"/>
      <c r="W272" s="3"/>
      <c r="X272" s="3"/>
      <c r="Y272" s="3"/>
    </row>
    <row r="273">
      <c r="A273" s="5"/>
      <c r="B273" s="5"/>
      <c r="C273" s="5"/>
      <c r="D273" s="5"/>
      <c r="E273" s="3"/>
      <c r="F273" s="5"/>
      <c r="G273" s="5"/>
      <c r="H273" s="5"/>
      <c r="I273" s="3"/>
      <c r="J273" s="3"/>
      <c r="K273" s="3"/>
      <c r="L273" s="3"/>
      <c r="M273" s="3"/>
      <c r="N273" s="3"/>
      <c r="O273" s="3"/>
      <c r="P273" s="3"/>
      <c r="Q273" s="3"/>
      <c r="R273" s="3"/>
      <c r="S273" s="3"/>
      <c r="T273" s="3"/>
      <c r="U273" s="3"/>
      <c r="V273" s="3"/>
      <c r="W273" s="3"/>
      <c r="X273" s="3"/>
      <c r="Y273" s="3"/>
    </row>
    <row r="274">
      <c r="A274" s="5"/>
      <c r="B274" s="5"/>
      <c r="C274" s="5"/>
      <c r="D274" s="5"/>
      <c r="E274" s="3"/>
      <c r="F274" s="5"/>
      <c r="G274" s="5"/>
      <c r="H274" s="5"/>
      <c r="I274" s="3"/>
      <c r="J274" s="3"/>
      <c r="K274" s="3"/>
      <c r="L274" s="3"/>
      <c r="M274" s="3"/>
      <c r="N274" s="3"/>
      <c r="O274" s="3"/>
      <c r="P274" s="3"/>
      <c r="Q274" s="3"/>
      <c r="R274" s="3"/>
      <c r="S274" s="3"/>
      <c r="T274" s="3"/>
      <c r="U274" s="3"/>
      <c r="V274" s="3"/>
      <c r="W274" s="3"/>
      <c r="X274" s="3"/>
      <c r="Y274" s="3"/>
    </row>
    <row r="275">
      <c r="A275" s="5"/>
      <c r="B275" s="5"/>
      <c r="C275" s="5"/>
      <c r="D275" s="5"/>
      <c r="E275" s="3"/>
      <c r="F275" s="5"/>
      <c r="G275" s="5"/>
      <c r="H275" s="5"/>
      <c r="I275" s="3"/>
      <c r="J275" s="3"/>
      <c r="K275" s="3"/>
      <c r="L275" s="3"/>
      <c r="M275" s="3"/>
      <c r="N275" s="3"/>
      <c r="O275" s="3"/>
      <c r="P275" s="3"/>
      <c r="Q275" s="3"/>
      <c r="R275" s="3"/>
      <c r="S275" s="3"/>
      <c r="T275" s="3"/>
      <c r="U275" s="3"/>
      <c r="V275" s="3"/>
      <c r="W275" s="3"/>
      <c r="X275" s="3"/>
      <c r="Y275" s="3"/>
    </row>
    <row r="276">
      <c r="A276" s="5"/>
      <c r="B276" s="5"/>
      <c r="C276" s="5"/>
      <c r="D276" s="5"/>
      <c r="E276" s="3"/>
      <c r="F276" s="5"/>
      <c r="G276" s="5"/>
      <c r="H276" s="5"/>
      <c r="I276" s="3"/>
      <c r="J276" s="3"/>
      <c r="K276" s="3"/>
      <c r="L276" s="3"/>
      <c r="M276" s="3"/>
      <c r="N276" s="3"/>
      <c r="O276" s="3"/>
      <c r="P276" s="3"/>
      <c r="Q276" s="3"/>
      <c r="R276" s="3"/>
      <c r="S276" s="3"/>
      <c r="T276" s="3"/>
      <c r="U276" s="3"/>
      <c r="V276" s="3"/>
      <c r="W276" s="3"/>
      <c r="X276" s="3"/>
      <c r="Y276" s="3"/>
    </row>
    <row r="277">
      <c r="A277" s="5"/>
      <c r="B277" s="5"/>
      <c r="C277" s="5"/>
      <c r="D277" s="5"/>
      <c r="E277" s="3"/>
      <c r="F277" s="5"/>
      <c r="G277" s="5"/>
      <c r="H277" s="5"/>
      <c r="I277" s="3"/>
      <c r="J277" s="3"/>
      <c r="K277" s="3"/>
      <c r="L277" s="3"/>
      <c r="M277" s="3"/>
      <c r="N277" s="3"/>
      <c r="O277" s="3"/>
      <c r="P277" s="3"/>
      <c r="Q277" s="3"/>
      <c r="R277" s="3"/>
      <c r="S277" s="3"/>
      <c r="T277" s="3"/>
      <c r="U277" s="3"/>
      <c r="V277" s="3"/>
      <c r="W277" s="3"/>
      <c r="X277" s="3"/>
      <c r="Y277" s="3"/>
    </row>
    <row r="278">
      <c r="A278" s="5"/>
      <c r="B278" s="5"/>
      <c r="C278" s="5"/>
      <c r="D278" s="5"/>
      <c r="E278" s="3"/>
      <c r="F278" s="5"/>
      <c r="G278" s="5"/>
      <c r="H278" s="5"/>
      <c r="I278" s="3"/>
      <c r="J278" s="3"/>
      <c r="K278" s="3"/>
      <c r="L278" s="3"/>
      <c r="M278" s="3"/>
      <c r="N278" s="3"/>
      <c r="O278" s="3"/>
      <c r="P278" s="3"/>
      <c r="Q278" s="3"/>
      <c r="R278" s="3"/>
      <c r="S278" s="3"/>
      <c r="T278" s="3"/>
      <c r="U278" s="3"/>
      <c r="V278" s="3"/>
      <c r="W278" s="3"/>
      <c r="X278" s="3"/>
      <c r="Y278" s="3"/>
    </row>
    <row r="279">
      <c r="A279" s="5"/>
      <c r="B279" s="5"/>
      <c r="C279" s="5"/>
      <c r="D279" s="5"/>
      <c r="E279" s="3"/>
      <c r="F279" s="5"/>
      <c r="G279" s="5"/>
      <c r="H279" s="5"/>
      <c r="I279" s="3"/>
      <c r="J279" s="3"/>
      <c r="K279" s="3"/>
      <c r="L279" s="3"/>
      <c r="M279" s="3"/>
      <c r="N279" s="3"/>
      <c r="O279" s="3"/>
      <c r="P279" s="3"/>
      <c r="Q279" s="3"/>
      <c r="R279" s="3"/>
      <c r="S279" s="3"/>
      <c r="T279" s="3"/>
      <c r="U279" s="3"/>
      <c r="V279" s="3"/>
      <c r="W279" s="3"/>
      <c r="X279" s="3"/>
      <c r="Y279" s="3"/>
    </row>
    <row r="280">
      <c r="A280" s="5"/>
      <c r="B280" s="5"/>
      <c r="C280" s="5"/>
      <c r="D280" s="5"/>
      <c r="E280" s="3"/>
      <c r="F280" s="5"/>
      <c r="G280" s="5"/>
      <c r="H280" s="5"/>
      <c r="I280" s="3"/>
      <c r="J280" s="3"/>
      <c r="K280" s="3"/>
      <c r="L280" s="3"/>
      <c r="M280" s="3"/>
      <c r="N280" s="3"/>
      <c r="O280" s="3"/>
      <c r="P280" s="3"/>
      <c r="Q280" s="3"/>
      <c r="R280" s="3"/>
      <c r="S280" s="3"/>
      <c r="T280" s="3"/>
      <c r="U280" s="3"/>
      <c r="V280" s="3"/>
      <c r="W280" s="3"/>
      <c r="X280" s="3"/>
      <c r="Y280" s="3"/>
    </row>
    <row r="281">
      <c r="A281" s="5"/>
      <c r="B281" s="5"/>
      <c r="C281" s="5"/>
      <c r="D281" s="5"/>
      <c r="E281" s="3"/>
      <c r="F281" s="5"/>
      <c r="G281" s="5"/>
      <c r="H281" s="5"/>
      <c r="I281" s="3"/>
      <c r="J281" s="3"/>
      <c r="K281" s="3"/>
      <c r="L281" s="3"/>
      <c r="M281" s="3"/>
      <c r="N281" s="3"/>
      <c r="O281" s="3"/>
      <c r="P281" s="3"/>
      <c r="Q281" s="3"/>
      <c r="R281" s="3"/>
      <c r="S281" s="3"/>
      <c r="T281" s="3"/>
      <c r="U281" s="3"/>
      <c r="V281" s="3"/>
      <c r="W281" s="3"/>
      <c r="X281" s="3"/>
      <c r="Y281" s="3"/>
    </row>
    <row r="282">
      <c r="A282" s="5"/>
      <c r="B282" s="5"/>
      <c r="C282" s="5"/>
      <c r="D282" s="5"/>
      <c r="E282" s="3"/>
      <c r="F282" s="5"/>
      <c r="G282" s="5"/>
      <c r="H282" s="5"/>
      <c r="I282" s="3"/>
      <c r="J282" s="3"/>
      <c r="K282" s="3"/>
      <c r="L282" s="3"/>
      <c r="M282" s="3"/>
      <c r="N282" s="3"/>
      <c r="O282" s="3"/>
      <c r="P282" s="3"/>
      <c r="Q282" s="3"/>
      <c r="R282" s="3"/>
      <c r="S282" s="3"/>
      <c r="T282" s="3"/>
      <c r="U282" s="3"/>
      <c r="V282" s="3"/>
      <c r="W282" s="3"/>
      <c r="X282" s="3"/>
      <c r="Y282" s="3"/>
    </row>
    <row r="283">
      <c r="A283" s="5"/>
      <c r="B283" s="5"/>
      <c r="C283" s="5"/>
      <c r="D283" s="5"/>
      <c r="E283" s="3"/>
      <c r="F283" s="5"/>
      <c r="G283" s="5"/>
      <c r="H283" s="5"/>
      <c r="I283" s="3"/>
      <c r="J283" s="3"/>
      <c r="K283" s="3"/>
      <c r="L283" s="3"/>
      <c r="M283" s="3"/>
      <c r="N283" s="3"/>
      <c r="O283" s="3"/>
      <c r="P283" s="3"/>
      <c r="Q283" s="3"/>
      <c r="R283" s="3"/>
      <c r="S283" s="3"/>
      <c r="T283" s="3"/>
      <c r="U283" s="3"/>
      <c r="V283" s="3"/>
      <c r="W283" s="3"/>
      <c r="X283" s="3"/>
      <c r="Y283" s="3"/>
    </row>
    <row r="284">
      <c r="A284" s="5"/>
      <c r="B284" s="5"/>
      <c r="C284" s="5"/>
      <c r="D284" s="5"/>
      <c r="E284" s="3"/>
      <c r="F284" s="5"/>
      <c r="G284" s="5"/>
      <c r="H284" s="5"/>
      <c r="I284" s="3"/>
      <c r="J284" s="3"/>
      <c r="K284" s="3"/>
      <c r="L284" s="3"/>
      <c r="M284" s="3"/>
      <c r="N284" s="3"/>
      <c r="O284" s="3"/>
      <c r="P284" s="3"/>
      <c r="Q284" s="3"/>
      <c r="R284" s="3"/>
      <c r="S284" s="3"/>
      <c r="T284" s="3"/>
      <c r="U284" s="3"/>
      <c r="V284" s="3"/>
      <c r="W284" s="3"/>
      <c r="X284" s="3"/>
      <c r="Y284" s="3"/>
    </row>
    <row r="285">
      <c r="A285" s="5"/>
      <c r="B285" s="5"/>
      <c r="C285" s="5"/>
      <c r="D285" s="5"/>
      <c r="E285" s="3"/>
      <c r="F285" s="5"/>
      <c r="G285" s="5"/>
      <c r="H285" s="5"/>
      <c r="I285" s="3"/>
      <c r="J285" s="3"/>
      <c r="K285" s="3"/>
      <c r="L285" s="3"/>
      <c r="M285" s="3"/>
      <c r="N285" s="3"/>
      <c r="O285" s="3"/>
      <c r="P285" s="3"/>
      <c r="Q285" s="3"/>
      <c r="R285" s="3"/>
      <c r="S285" s="3"/>
      <c r="T285" s="3"/>
      <c r="U285" s="3"/>
      <c r="V285" s="3"/>
      <c r="W285" s="3"/>
      <c r="X285" s="3"/>
      <c r="Y285" s="3"/>
    </row>
    <row r="286">
      <c r="A286" s="5"/>
      <c r="B286" s="5"/>
      <c r="C286" s="5"/>
      <c r="D286" s="5"/>
      <c r="E286" s="3"/>
      <c r="F286" s="5"/>
      <c r="G286" s="5"/>
      <c r="H286" s="5"/>
      <c r="I286" s="3"/>
      <c r="J286" s="3"/>
      <c r="K286" s="3"/>
      <c r="L286" s="3"/>
      <c r="M286" s="3"/>
      <c r="N286" s="3"/>
      <c r="O286" s="3"/>
      <c r="P286" s="3"/>
      <c r="Q286" s="3"/>
      <c r="R286" s="3"/>
      <c r="S286" s="3"/>
      <c r="T286" s="3"/>
      <c r="U286" s="3"/>
      <c r="V286" s="3"/>
      <c r="W286" s="3"/>
      <c r="X286" s="3"/>
      <c r="Y286" s="3"/>
    </row>
    <row r="287">
      <c r="A287" s="5"/>
      <c r="B287" s="5"/>
      <c r="C287" s="5"/>
      <c r="D287" s="5"/>
      <c r="E287" s="3"/>
      <c r="F287" s="5"/>
      <c r="G287" s="5"/>
      <c r="H287" s="5"/>
      <c r="I287" s="3"/>
      <c r="J287" s="3"/>
      <c r="K287" s="3"/>
      <c r="L287" s="3"/>
      <c r="M287" s="3"/>
      <c r="N287" s="3"/>
      <c r="O287" s="3"/>
      <c r="P287" s="3"/>
      <c r="Q287" s="3"/>
      <c r="R287" s="3"/>
      <c r="S287" s="3"/>
      <c r="T287" s="3"/>
      <c r="U287" s="3"/>
      <c r="V287" s="3"/>
      <c r="W287" s="3"/>
      <c r="X287" s="3"/>
      <c r="Y287" s="3"/>
    </row>
    <row r="288">
      <c r="A288" s="5"/>
      <c r="B288" s="5"/>
      <c r="C288" s="5"/>
      <c r="D288" s="5"/>
      <c r="E288" s="3"/>
      <c r="F288" s="5"/>
      <c r="G288" s="5"/>
      <c r="H288" s="5"/>
      <c r="I288" s="3"/>
      <c r="J288" s="3"/>
      <c r="K288" s="3"/>
      <c r="L288" s="3"/>
      <c r="M288" s="3"/>
      <c r="N288" s="3"/>
      <c r="O288" s="3"/>
      <c r="P288" s="3"/>
      <c r="Q288" s="3"/>
      <c r="R288" s="3"/>
      <c r="S288" s="3"/>
      <c r="T288" s="3"/>
      <c r="U288" s="3"/>
      <c r="V288" s="3"/>
      <c r="W288" s="3"/>
      <c r="X288" s="3"/>
      <c r="Y288" s="3"/>
    </row>
    <row r="289">
      <c r="A289" s="5"/>
      <c r="B289" s="5"/>
      <c r="C289" s="5"/>
      <c r="D289" s="5"/>
      <c r="E289" s="3"/>
      <c r="F289" s="5"/>
      <c r="G289" s="5"/>
      <c r="H289" s="5"/>
      <c r="I289" s="3"/>
      <c r="J289" s="3"/>
      <c r="K289" s="3"/>
      <c r="L289" s="3"/>
      <c r="M289" s="3"/>
      <c r="N289" s="3"/>
      <c r="O289" s="3"/>
      <c r="P289" s="3"/>
      <c r="Q289" s="3"/>
      <c r="R289" s="3"/>
      <c r="S289" s="3"/>
      <c r="T289" s="3"/>
      <c r="U289" s="3"/>
      <c r="V289" s="3"/>
      <c r="W289" s="3"/>
      <c r="X289" s="3"/>
      <c r="Y289" s="3"/>
    </row>
    <row r="290">
      <c r="A290" s="5"/>
      <c r="B290" s="5"/>
      <c r="C290" s="5"/>
      <c r="D290" s="5"/>
      <c r="E290" s="3"/>
      <c r="F290" s="5"/>
      <c r="G290" s="5"/>
      <c r="H290" s="5"/>
      <c r="I290" s="3"/>
      <c r="J290" s="3"/>
      <c r="K290" s="3"/>
      <c r="L290" s="3"/>
      <c r="M290" s="3"/>
      <c r="N290" s="3"/>
      <c r="O290" s="3"/>
      <c r="P290" s="3"/>
      <c r="Q290" s="3"/>
      <c r="R290" s="3"/>
      <c r="S290" s="3"/>
      <c r="T290" s="3"/>
      <c r="U290" s="3"/>
      <c r="V290" s="3"/>
      <c r="W290" s="3"/>
      <c r="X290" s="3"/>
      <c r="Y290" s="3"/>
    </row>
    <row r="291">
      <c r="A291" s="5"/>
      <c r="B291" s="5"/>
      <c r="C291" s="5"/>
      <c r="D291" s="5"/>
      <c r="E291" s="3"/>
      <c r="F291" s="5"/>
      <c r="G291" s="5"/>
      <c r="H291" s="5"/>
      <c r="I291" s="3"/>
      <c r="J291" s="3"/>
      <c r="K291" s="3"/>
      <c r="L291" s="3"/>
      <c r="M291" s="3"/>
      <c r="N291" s="3"/>
      <c r="O291" s="3"/>
      <c r="P291" s="3"/>
      <c r="Q291" s="3"/>
      <c r="R291" s="3"/>
      <c r="S291" s="3"/>
      <c r="T291" s="3"/>
      <c r="U291" s="3"/>
      <c r="V291" s="3"/>
      <c r="W291" s="3"/>
      <c r="X291" s="3"/>
      <c r="Y291" s="3"/>
    </row>
    <row r="292">
      <c r="A292" s="5"/>
      <c r="B292" s="5"/>
      <c r="C292" s="5"/>
      <c r="D292" s="5"/>
      <c r="E292" s="3"/>
      <c r="F292" s="5"/>
      <c r="G292" s="5"/>
      <c r="H292" s="5"/>
      <c r="I292" s="3"/>
      <c r="J292" s="3"/>
      <c r="K292" s="3"/>
      <c r="L292" s="3"/>
      <c r="M292" s="3"/>
      <c r="N292" s="3"/>
      <c r="O292" s="3"/>
      <c r="P292" s="3"/>
      <c r="Q292" s="3"/>
      <c r="R292" s="3"/>
      <c r="S292" s="3"/>
      <c r="T292" s="3"/>
      <c r="U292" s="3"/>
      <c r="V292" s="3"/>
      <c r="W292" s="3"/>
      <c r="X292" s="3"/>
      <c r="Y292" s="3"/>
    </row>
    <row r="293">
      <c r="A293" s="5"/>
      <c r="B293" s="5"/>
      <c r="C293" s="5"/>
      <c r="D293" s="5"/>
      <c r="E293" s="3"/>
      <c r="F293" s="5"/>
      <c r="G293" s="5"/>
      <c r="H293" s="5"/>
      <c r="I293" s="3"/>
      <c r="J293" s="3"/>
      <c r="K293" s="3"/>
      <c r="L293" s="3"/>
      <c r="M293" s="3"/>
      <c r="N293" s="3"/>
      <c r="O293" s="3"/>
      <c r="P293" s="3"/>
      <c r="Q293" s="3"/>
      <c r="R293" s="3"/>
      <c r="S293" s="3"/>
      <c r="T293" s="3"/>
      <c r="U293" s="3"/>
      <c r="V293" s="3"/>
      <c r="W293" s="3"/>
      <c r="X293" s="3"/>
      <c r="Y293" s="3"/>
    </row>
    <row r="294">
      <c r="A294" s="5"/>
      <c r="B294" s="5"/>
      <c r="C294" s="5"/>
      <c r="D294" s="5"/>
      <c r="E294" s="3"/>
      <c r="F294" s="5"/>
      <c r="G294" s="5"/>
      <c r="H294" s="5"/>
      <c r="I294" s="3"/>
      <c r="J294" s="3"/>
      <c r="K294" s="3"/>
      <c r="L294" s="3"/>
      <c r="M294" s="3"/>
      <c r="N294" s="3"/>
      <c r="O294" s="3"/>
      <c r="P294" s="3"/>
      <c r="Q294" s="3"/>
      <c r="R294" s="3"/>
      <c r="S294" s="3"/>
      <c r="T294" s="3"/>
      <c r="U294" s="3"/>
      <c r="V294" s="3"/>
      <c r="W294" s="3"/>
      <c r="X294" s="3"/>
      <c r="Y294" s="3"/>
    </row>
    <row r="295">
      <c r="A295" s="5"/>
      <c r="B295" s="5"/>
      <c r="C295" s="5"/>
      <c r="D295" s="5"/>
      <c r="E295" s="3"/>
      <c r="F295" s="5"/>
      <c r="G295" s="5"/>
      <c r="H295" s="5"/>
      <c r="I295" s="3"/>
      <c r="J295" s="3"/>
      <c r="K295" s="3"/>
      <c r="L295" s="3"/>
      <c r="M295" s="3"/>
      <c r="N295" s="3"/>
      <c r="O295" s="3"/>
      <c r="P295" s="3"/>
      <c r="Q295" s="3"/>
      <c r="R295" s="3"/>
      <c r="S295" s="3"/>
      <c r="T295" s="3"/>
      <c r="U295" s="3"/>
      <c r="V295" s="3"/>
      <c r="W295" s="3"/>
      <c r="X295" s="3"/>
      <c r="Y295" s="3"/>
    </row>
    <row r="296">
      <c r="A296" s="5"/>
      <c r="B296" s="5"/>
      <c r="C296" s="5"/>
      <c r="D296" s="5"/>
      <c r="E296" s="3"/>
      <c r="F296" s="5"/>
      <c r="G296" s="5"/>
      <c r="H296" s="5"/>
      <c r="I296" s="3"/>
      <c r="J296" s="3"/>
      <c r="K296" s="3"/>
      <c r="L296" s="3"/>
      <c r="M296" s="3"/>
      <c r="N296" s="3"/>
      <c r="O296" s="3"/>
      <c r="P296" s="3"/>
      <c r="Q296" s="3"/>
      <c r="R296" s="3"/>
      <c r="S296" s="3"/>
      <c r="T296" s="3"/>
      <c r="U296" s="3"/>
      <c r="V296" s="3"/>
      <c r="W296" s="3"/>
      <c r="X296" s="3"/>
      <c r="Y296" s="3"/>
    </row>
    <row r="297">
      <c r="A297" s="5"/>
      <c r="B297" s="5"/>
      <c r="C297" s="5"/>
      <c r="D297" s="5"/>
      <c r="E297" s="3"/>
      <c r="F297" s="5"/>
      <c r="G297" s="5"/>
      <c r="H297" s="5"/>
      <c r="I297" s="3"/>
      <c r="J297" s="3"/>
      <c r="K297" s="3"/>
      <c r="L297" s="3"/>
      <c r="M297" s="3"/>
      <c r="N297" s="3"/>
      <c r="O297" s="3"/>
      <c r="P297" s="3"/>
      <c r="Q297" s="3"/>
      <c r="R297" s="3"/>
      <c r="S297" s="3"/>
      <c r="T297" s="3"/>
      <c r="U297" s="3"/>
      <c r="V297" s="3"/>
      <c r="W297" s="3"/>
      <c r="X297" s="3"/>
      <c r="Y297" s="3"/>
    </row>
    <row r="298">
      <c r="A298" s="5"/>
      <c r="B298" s="5"/>
      <c r="C298" s="5"/>
      <c r="D298" s="5"/>
      <c r="E298" s="3"/>
      <c r="F298" s="5"/>
      <c r="G298" s="5"/>
      <c r="H298" s="5"/>
      <c r="I298" s="3"/>
      <c r="J298" s="3"/>
      <c r="K298" s="3"/>
      <c r="L298" s="3"/>
      <c r="M298" s="3"/>
      <c r="N298" s="3"/>
      <c r="O298" s="3"/>
      <c r="P298" s="3"/>
      <c r="Q298" s="3"/>
      <c r="R298" s="3"/>
      <c r="S298" s="3"/>
      <c r="T298" s="3"/>
      <c r="U298" s="3"/>
      <c r="V298" s="3"/>
      <c r="W298" s="3"/>
      <c r="X298" s="3"/>
      <c r="Y298" s="3"/>
    </row>
    <row r="299">
      <c r="A299" s="5"/>
      <c r="B299" s="5"/>
      <c r="C299" s="5"/>
      <c r="D299" s="5"/>
      <c r="E299" s="3"/>
      <c r="F299" s="5"/>
      <c r="G299" s="5"/>
      <c r="H299" s="5"/>
      <c r="I299" s="3"/>
      <c r="J299" s="3"/>
      <c r="K299" s="3"/>
      <c r="L299" s="3"/>
      <c r="M299" s="3"/>
      <c r="N299" s="3"/>
      <c r="O299" s="3"/>
      <c r="P299" s="3"/>
      <c r="Q299" s="3"/>
      <c r="R299" s="3"/>
      <c r="S299" s="3"/>
      <c r="T299" s="3"/>
      <c r="U299" s="3"/>
      <c r="V299" s="3"/>
      <c r="W299" s="3"/>
      <c r="X299" s="3"/>
      <c r="Y299" s="3"/>
    </row>
    <row r="300">
      <c r="A300" s="5"/>
      <c r="B300" s="5"/>
      <c r="C300" s="5"/>
      <c r="D300" s="5"/>
      <c r="E300" s="3"/>
      <c r="F300" s="5"/>
      <c r="G300" s="5"/>
      <c r="H300" s="5"/>
      <c r="I300" s="3"/>
      <c r="J300" s="3"/>
      <c r="K300" s="3"/>
      <c r="L300" s="3"/>
      <c r="M300" s="3"/>
      <c r="N300" s="3"/>
      <c r="O300" s="3"/>
      <c r="P300" s="3"/>
      <c r="Q300" s="3"/>
      <c r="R300" s="3"/>
      <c r="S300" s="3"/>
      <c r="T300" s="3"/>
      <c r="U300" s="3"/>
      <c r="V300" s="3"/>
      <c r="W300" s="3"/>
      <c r="X300" s="3"/>
      <c r="Y300" s="3"/>
    </row>
    <row r="301">
      <c r="A301" s="5"/>
      <c r="B301" s="5"/>
      <c r="C301" s="5"/>
      <c r="D301" s="5"/>
      <c r="E301" s="3"/>
      <c r="F301" s="5"/>
      <c r="G301" s="5"/>
      <c r="H301" s="5"/>
      <c r="I301" s="3"/>
      <c r="J301" s="3"/>
      <c r="K301" s="3"/>
      <c r="L301" s="3"/>
      <c r="M301" s="3"/>
      <c r="N301" s="3"/>
      <c r="O301" s="3"/>
      <c r="P301" s="3"/>
      <c r="Q301" s="3"/>
      <c r="R301" s="3"/>
      <c r="S301" s="3"/>
      <c r="T301" s="3"/>
      <c r="U301" s="3"/>
      <c r="V301" s="3"/>
      <c r="W301" s="3"/>
      <c r="X301" s="3"/>
      <c r="Y301" s="3"/>
    </row>
    <row r="302">
      <c r="A302" s="5"/>
      <c r="B302" s="5"/>
      <c r="C302" s="5"/>
      <c r="D302" s="5"/>
      <c r="E302" s="3"/>
      <c r="F302" s="5"/>
      <c r="G302" s="5"/>
      <c r="H302" s="5"/>
      <c r="I302" s="3"/>
      <c r="J302" s="3"/>
      <c r="K302" s="3"/>
      <c r="L302" s="3"/>
      <c r="M302" s="3"/>
      <c r="N302" s="3"/>
      <c r="O302" s="3"/>
      <c r="P302" s="3"/>
      <c r="Q302" s="3"/>
      <c r="R302" s="3"/>
      <c r="S302" s="3"/>
      <c r="T302" s="3"/>
      <c r="U302" s="3"/>
      <c r="V302" s="3"/>
      <c r="W302" s="3"/>
      <c r="X302" s="3"/>
      <c r="Y302" s="3"/>
    </row>
    <row r="303">
      <c r="A303" s="5"/>
      <c r="B303" s="5"/>
      <c r="C303" s="5"/>
      <c r="D303" s="5"/>
      <c r="E303" s="3"/>
      <c r="F303" s="5"/>
      <c r="G303" s="5"/>
      <c r="H303" s="5"/>
      <c r="I303" s="3"/>
      <c r="J303" s="3"/>
      <c r="K303" s="3"/>
      <c r="L303" s="3"/>
      <c r="M303" s="3"/>
      <c r="N303" s="3"/>
      <c r="O303" s="3"/>
      <c r="P303" s="3"/>
      <c r="Q303" s="3"/>
      <c r="R303" s="3"/>
      <c r="S303" s="3"/>
      <c r="T303" s="3"/>
      <c r="U303" s="3"/>
      <c r="V303" s="3"/>
      <c r="W303" s="3"/>
      <c r="X303" s="3"/>
      <c r="Y303" s="3"/>
    </row>
    <row r="304">
      <c r="A304" s="5"/>
      <c r="B304" s="5"/>
      <c r="C304" s="5"/>
      <c r="D304" s="5"/>
      <c r="E304" s="3"/>
      <c r="F304" s="5"/>
      <c r="G304" s="5"/>
      <c r="H304" s="5"/>
      <c r="I304" s="3"/>
      <c r="J304" s="3"/>
      <c r="K304" s="3"/>
      <c r="L304" s="3"/>
      <c r="M304" s="3"/>
      <c r="N304" s="3"/>
      <c r="O304" s="3"/>
      <c r="P304" s="3"/>
      <c r="Q304" s="3"/>
      <c r="R304" s="3"/>
      <c r="S304" s="3"/>
      <c r="T304" s="3"/>
      <c r="U304" s="3"/>
      <c r="V304" s="3"/>
      <c r="W304" s="3"/>
      <c r="X304" s="3"/>
      <c r="Y304" s="3"/>
    </row>
    <row r="305">
      <c r="A305" s="5"/>
      <c r="B305" s="5"/>
      <c r="C305" s="5"/>
      <c r="D305" s="5"/>
      <c r="E305" s="3"/>
      <c r="F305" s="5"/>
      <c r="G305" s="5"/>
      <c r="H305" s="5"/>
      <c r="I305" s="3"/>
      <c r="J305" s="3"/>
      <c r="K305" s="3"/>
      <c r="L305" s="3"/>
      <c r="M305" s="3"/>
      <c r="N305" s="3"/>
      <c r="O305" s="3"/>
      <c r="P305" s="3"/>
      <c r="Q305" s="3"/>
      <c r="R305" s="3"/>
      <c r="S305" s="3"/>
      <c r="T305" s="3"/>
      <c r="U305" s="3"/>
      <c r="V305" s="3"/>
      <c r="W305" s="3"/>
      <c r="X305" s="3"/>
      <c r="Y305" s="3"/>
    </row>
    <row r="306">
      <c r="A306" s="5"/>
      <c r="B306" s="5"/>
      <c r="C306" s="5"/>
      <c r="D306" s="5"/>
      <c r="E306" s="3"/>
      <c r="F306" s="5"/>
      <c r="G306" s="5"/>
      <c r="H306" s="5"/>
      <c r="I306" s="3"/>
      <c r="J306" s="3"/>
      <c r="K306" s="3"/>
      <c r="L306" s="3"/>
      <c r="M306" s="3"/>
      <c r="N306" s="3"/>
      <c r="O306" s="3"/>
      <c r="P306" s="3"/>
      <c r="Q306" s="3"/>
      <c r="R306" s="3"/>
      <c r="S306" s="3"/>
      <c r="T306" s="3"/>
      <c r="U306" s="3"/>
      <c r="V306" s="3"/>
      <c r="W306" s="3"/>
      <c r="X306" s="3"/>
      <c r="Y306" s="3"/>
    </row>
    <row r="307">
      <c r="A307" s="5"/>
      <c r="B307" s="5"/>
      <c r="C307" s="5"/>
      <c r="D307" s="5"/>
      <c r="E307" s="3"/>
      <c r="F307" s="5"/>
      <c r="G307" s="5"/>
      <c r="H307" s="5"/>
      <c r="I307" s="3"/>
      <c r="J307" s="3"/>
      <c r="K307" s="3"/>
      <c r="L307" s="3"/>
      <c r="M307" s="3"/>
      <c r="N307" s="3"/>
      <c r="O307" s="3"/>
      <c r="P307" s="3"/>
      <c r="Q307" s="3"/>
      <c r="R307" s="3"/>
      <c r="S307" s="3"/>
      <c r="T307" s="3"/>
      <c r="U307" s="3"/>
      <c r="V307" s="3"/>
      <c r="W307" s="3"/>
      <c r="X307" s="3"/>
      <c r="Y307" s="3"/>
    </row>
    <row r="308">
      <c r="A308" s="5"/>
      <c r="B308" s="5"/>
      <c r="C308" s="5"/>
      <c r="D308" s="5"/>
      <c r="E308" s="3"/>
      <c r="F308" s="5"/>
      <c r="G308" s="5"/>
      <c r="H308" s="5"/>
      <c r="I308" s="3"/>
      <c r="J308" s="3"/>
      <c r="K308" s="3"/>
      <c r="L308" s="3"/>
      <c r="M308" s="3"/>
      <c r="N308" s="3"/>
      <c r="O308" s="3"/>
      <c r="P308" s="3"/>
      <c r="Q308" s="3"/>
      <c r="R308" s="3"/>
      <c r="S308" s="3"/>
      <c r="T308" s="3"/>
      <c r="U308" s="3"/>
      <c r="V308" s="3"/>
      <c r="W308" s="3"/>
      <c r="X308" s="3"/>
      <c r="Y308" s="3"/>
    </row>
    <row r="309">
      <c r="A309" s="5"/>
      <c r="B309" s="5"/>
      <c r="C309" s="5"/>
      <c r="D309" s="5"/>
      <c r="E309" s="3"/>
      <c r="F309" s="5"/>
      <c r="G309" s="5"/>
      <c r="H309" s="5"/>
      <c r="I309" s="3"/>
      <c r="J309" s="3"/>
      <c r="K309" s="3"/>
      <c r="L309" s="3"/>
      <c r="M309" s="3"/>
      <c r="N309" s="3"/>
      <c r="O309" s="3"/>
      <c r="P309" s="3"/>
      <c r="Q309" s="3"/>
      <c r="R309" s="3"/>
      <c r="S309" s="3"/>
      <c r="T309" s="3"/>
      <c r="U309" s="3"/>
      <c r="V309" s="3"/>
      <c r="W309" s="3"/>
      <c r="X309" s="3"/>
      <c r="Y309" s="3"/>
    </row>
    <row r="310">
      <c r="A310" s="5"/>
      <c r="B310" s="5"/>
      <c r="C310" s="5"/>
      <c r="D310" s="5"/>
      <c r="E310" s="3"/>
      <c r="F310" s="5"/>
      <c r="G310" s="5"/>
      <c r="H310" s="5"/>
      <c r="I310" s="3"/>
      <c r="J310" s="3"/>
      <c r="K310" s="3"/>
      <c r="L310" s="3"/>
      <c r="M310" s="3"/>
      <c r="N310" s="3"/>
      <c r="O310" s="3"/>
      <c r="P310" s="3"/>
      <c r="Q310" s="3"/>
      <c r="R310" s="3"/>
      <c r="S310" s="3"/>
      <c r="T310" s="3"/>
      <c r="U310" s="3"/>
      <c r="V310" s="3"/>
      <c r="W310" s="3"/>
      <c r="X310" s="3"/>
      <c r="Y310" s="3"/>
    </row>
    <row r="311">
      <c r="A311" s="5"/>
      <c r="B311" s="5"/>
      <c r="C311" s="5"/>
      <c r="D311" s="5"/>
      <c r="E311" s="3"/>
      <c r="F311" s="5"/>
      <c r="G311" s="5"/>
      <c r="H311" s="5"/>
      <c r="I311" s="3"/>
      <c r="J311" s="3"/>
      <c r="K311" s="3"/>
      <c r="L311" s="3"/>
      <c r="M311" s="3"/>
      <c r="N311" s="3"/>
      <c r="O311" s="3"/>
      <c r="P311" s="3"/>
      <c r="Q311" s="3"/>
      <c r="R311" s="3"/>
      <c r="S311" s="3"/>
      <c r="T311" s="3"/>
      <c r="U311" s="3"/>
      <c r="V311" s="3"/>
      <c r="W311" s="3"/>
      <c r="X311" s="3"/>
      <c r="Y311" s="3"/>
    </row>
    <row r="312">
      <c r="A312" s="5"/>
      <c r="B312" s="5"/>
      <c r="C312" s="5"/>
      <c r="D312" s="5"/>
      <c r="E312" s="3"/>
      <c r="F312" s="5"/>
      <c r="G312" s="5"/>
      <c r="H312" s="5"/>
      <c r="I312" s="3"/>
      <c r="J312" s="3"/>
      <c r="K312" s="3"/>
      <c r="L312" s="3"/>
      <c r="M312" s="3"/>
      <c r="N312" s="3"/>
      <c r="O312" s="3"/>
      <c r="P312" s="3"/>
      <c r="Q312" s="3"/>
      <c r="R312" s="3"/>
      <c r="S312" s="3"/>
      <c r="T312" s="3"/>
      <c r="U312" s="3"/>
      <c r="V312" s="3"/>
      <c r="W312" s="3"/>
      <c r="X312" s="3"/>
      <c r="Y312" s="3"/>
    </row>
    <row r="313">
      <c r="A313" s="5"/>
      <c r="B313" s="5"/>
      <c r="C313" s="5"/>
      <c r="D313" s="5"/>
      <c r="E313" s="3"/>
      <c r="F313" s="5"/>
      <c r="G313" s="5"/>
      <c r="H313" s="5"/>
      <c r="I313" s="3"/>
      <c r="J313" s="3"/>
      <c r="K313" s="3"/>
      <c r="L313" s="3"/>
      <c r="M313" s="3"/>
      <c r="N313" s="3"/>
      <c r="O313" s="3"/>
      <c r="P313" s="3"/>
      <c r="Q313" s="3"/>
      <c r="R313" s="3"/>
      <c r="S313" s="3"/>
      <c r="T313" s="3"/>
      <c r="U313" s="3"/>
      <c r="V313" s="3"/>
      <c r="W313" s="3"/>
      <c r="X313" s="3"/>
      <c r="Y313" s="3"/>
    </row>
    <row r="314">
      <c r="A314" s="5"/>
      <c r="B314" s="5"/>
      <c r="C314" s="5"/>
      <c r="D314" s="5"/>
      <c r="E314" s="3"/>
      <c r="F314" s="5"/>
      <c r="G314" s="5"/>
      <c r="H314" s="5"/>
      <c r="I314" s="3"/>
      <c r="J314" s="3"/>
      <c r="K314" s="3"/>
      <c r="L314" s="3"/>
      <c r="M314" s="3"/>
      <c r="N314" s="3"/>
      <c r="O314" s="3"/>
      <c r="P314" s="3"/>
      <c r="Q314" s="3"/>
      <c r="R314" s="3"/>
      <c r="S314" s="3"/>
      <c r="T314" s="3"/>
      <c r="U314" s="3"/>
      <c r="V314" s="3"/>
      <c r="W314" s="3"/>
      <c r="X314" s="3"/>
      <c r="Y314" s="3"/>
    </row>
    <row r="315">
      <c r="A315" s="5"/>
      <c r="B315" s="5"/>
      <c r="C315" s="5"/>
      <c r="D315" s="5"/>
      <c r="E315" s="3"/>
      <c r="F315" s="5"/>
      <c r="G315" s="5"/>
      <c r="H315" s="5"/>
      <c r="I315" s="3"/>
      <c r="J315" s="3"/>
      <c r="K315" s="3"/>
      <c r="L315" s="3"/>
      <c r="M315" s="3"/>
      <c r="N315" s="3"/>
      <c r="O315" s="3"/>
      <c r="P315" s="3"/>
      <c r="Q315" s="3"/>
      <c r="R315" s="3"/>
      <c r="S315" s="3"/>
      <c r="T315" s="3"/>
      <c r="U315" s="3"/>
      <c r="V315" s="3"/>
      <c r="W315" s="3"/>
      <c r="X315" s="3"/>
      <c r="Y315" s="3"/>
    </row>
    <row r="316">
      <c r="A316" s="5"/>
      <c r="B316" s="5"/>
      <c r="C316" s="5"/>
      <c r="D316" s="5"/>
      <c r="E316" s="3"/>
      <c r="F316" s="5"/>
      <c r="G316" s="5"/>
      <c r="H316" s="5"/>
      <c r="I316" s="3"/>
      <c r="J316" s="3"/>
      <c r="K316" s="3"/>
      <c r="L316" s="3"/>
      <c r="M316" s="3"/>
      <c r="N316" s="3"/>
      <c r="O316" s="3"/>
      <c r="P316" s="3"/>
      <c r="Q316" s="3"/>
      <c r="R316" s="3"/>
      <c r="S316" s="3"/>
      <c r="T316" s="3"/>
      <c r="U316" s="3"/>
      <c r="V316" s="3"/>
      <c r="W316" s="3"/>
      <c r="X316" s="3"/>
      <c r="Y316" s="3"/>
    </row>
    <row r="317">
      <c r="A317" s="5"/>
      <c r="B317" s="5"/>
      <c r="C317" s="5"/>
      <c r="D317" s="5"/>
      <c r="E317" s="3"/>
      <c r="F317" s="5"/>
      <c r="G317" s="5"/>
      <c r="H317" s="5"/>
      <c r="I317" s="3"/>
      <c r="J317" s="3"/>
      <c r="K317" s="3"/>
      <c r="L317" s="3"/>
      <c r="M317" s="3"/>
      <c r="N317" s="3"/>
      <c r="O317" s="3"/>
      <c r="P317" s="3"/>
      <c r="Q317" s="3"/>
      <c r="R317" s="3"/>
      <c r="S317" s="3"/>
      <c r="T317" s="3"/>
      <c r="U317" s="3"/>
      <c r="V317" s="3"/>
      <c r="W317" s="3"/>
      <c r="X317" s="3"/>
      <c r="Y317" s="3"/>
    </row>
    <row r="318">
      <c r="A318" s="5"/>
      <c r="B318" s="5"/>
      <c r="C318" s="5"/>
      <c r="D318" s="5"/>
      <c r="E318" s="3"/>
      <c r="F318" s="5"/>
      <c r="G318" s="5"/>
      <c r="H318" s="5"/>
      <c r="I318" s="3"/>
      <c r="J318" s="3"/>
      <c r="K318" s="3"/>
      <c r="L318" s="3"/>
      <c r="M318" s="3"/>
      <c r="N318" s="3"/>
      <c r="O318" s="3"/>
      <c r="P318" s="3"/>
      <c r="Q318" s="3"/>
      <c r="R318" s="3"/>
      <c r="S318" s="3"/>
      <c r="T318" s="3"/>
      <c r="U318" s="3"/>
      <c r="V318" s="3"/>
      <c r="W318" s="3"/>
      <c r="X318" s="3"/>
      <c r="Y318" s="3"/>
    </row>
    <row r="319">
      <c r="A319" s="5"/>
      <c r="B319" s="5"/>
      <c r="C319" s="5"/>
      <c r="D319" s="5"/>
      <c r="E319" s="3"/>
      <c r="F319" s="5"/>
      <c r="G319" s="5"/>
      <c r="H319" s="5"/>
      <c r="I319" s="3"/>
      <c r="J319" s="3"/>
      <c r="K319" s="3"/>
      <c r="L319" s="3"/>
      <c r="M319" s="3"/>
      <c r="N319" s="3"/>
      <c r="O319" s="3"/>
      <c r="P319" s="3"/>
      <c r="Q319" s="3"/>
      <c r="R319" s="3"/>
      <c r="S319" s="3"/>
      <c r="T319" s="3"/>
      <c r="U319" s="3"/>
      <c r="V319" s="3"/>
      <c r="W319" s="3"/>
      <c r="X319" s="3"/>
      <c r="Y319" s="3"/>
    </row>
    <row r="320">
      <c r="A320" s="5"/>
      <c r="B320" s="5"/>
      <c r="C320" s="5"/>
      <c r="D320" s="5"/>
      <c r="E320" s="3"/>
      <c r="F320" s="5"/>
      <c r="G320" s="5"/>
      <c r="H320" s="5"/>
      <c r="I320" s="3"/>
      <c r="J320" s="3"/>
      <c r="K320" s="3"/>
      <c r="L320" s="3"/>
      <c r="M320" s="3"/>
      <c r="N320" s="3"/>
      <c r="O320" s="3"/>
      <c r="P320" s="3"/>
      <c r="Q320" s="3"/>
      <c r="R320" s="3"/>
      <c r="S320" s="3"/>
      <c r="T320" s="3"/>
      <c r="U320" s="3"/>
      <c r="V320" s="3"/>
      <c r="W320" s="3"/>
      <c r="X320" s="3"/>
      <c r="Y320" s="3"/>
    </row>
    <row r="321">
      <c r="A321" s="5"/>
      <c r="B321" s="5"/>
      <c r="C321" s="5"/>
      <c r="D321" s="5"/>
      <c r="E321" s="3"/>
      <c r="F321" s="5"/>
      <c r="G321" s="5"/>
      <c r="H321" s="5"/>
      <c r="I321" s="3"/>
      <c r="J321" s="3"/>
      <c r="K321" s="3"/>
      <c r="L321" s="3"/>
      <c r="M321" s="3"/>
      <c r="N321" s="3"/>
      <c r="O321" s="3"/>
      <c r="P321" s="3"/>
      <c r="Q321" s="3"/>
      <c r="R321" s="3"/>
      <c r="S321" s="3"/>
      <c r="T321" s="3"/>
      <c r="U321" s="3"/>
      <c r="V321" s="3"/>
      <c r="W321" s="3"/>
      <c r="X321" s="3"/>
      <c r="Y321" s="3"/>
    </row>
    <row r="322">
      <c r="A322" s="5"/>
      <c r="B322" s="5"/>
      <c r="C322" s="5"/>
      <c r="D322" s="5"/>
      <c r="E322" s="3"/>
      <c r="F322" s="5"/>
      <c r="G322" s="5"/>
      <c r="H322" s="5"/>
      <c r="I322" s="3"/>
      <c r="J322" s="3"/>
      <c r="K322" s="3"/>
      <c r="L322" s="3"/>
      <c r="M322" s="3"/>
      <c r="N322" s="3"/>
      <c r="O322" s="3"/>
      <c r="P322" s="3"/>
      <c r="Q322" s="3"/>
      <c r="R322" s="3"/>
      <c r="S322" s="3"/>
      <c r="T322" s="3"/>
      <c r="U322" s="3"/>
      <c r="V322" s="3"/>
      <c r="W322" s="3"/>
      <c r="X322" s="3"/>
      <c r="Y322" s="3"/>
    </row>
    <row r="323">
      <c r="A323" s="5"/>
      <c r="B323" s="5"/>
      <c r="C323" s="5"/>
      <c r="D323" s="5"/>
      <c r="E323" s="3"/>
      <c r="F323" s="5"/>
      <c r="G323" s="5"/>
      <c r="H323" s="5"/>
      <c r="I323" s="3"/>
      <c r="J323" s="3"/>
      <c r="K323" s="3"/>
      <c r="L323" s="3"/>
      <c r="M323" s="3"/>
      <c r="N323" s="3"/>
      <c r="O323" s="3"/>
      <c r="P323" s="3"/>
      <c r="Q323" s="3"/>
      <c r="R323" s="3"/>
      <c r="S323" s="3"/>
      <c r="T323" s="3"/>
      <c r="U323" s="3"/>
      <c r="V323" s="3"/>
      <c r="W323" s="3"/>
      <c r="X323" s="3"/>
      <c r="Y323" s="3"/>
    </row>
    <row r="324">
      <c r="A324" s="5"/>
      <c r="B324" s="5"/>
      <c r="C324" s="5"/>
      <c r="D324" s="5"/>
      <c r="E324" s="3"/>
      <c r="F324" s="5"/>
      <c r="G324" s="5"/>
      <c r="H324" s="5"/>
      <c r="I324" s="3"/>
      <c r="J324" s="3"/>
      <c r="K324" s="3"/>
      <c r="L324" s="3"/>
      <c r="M324" s="3"/>
      <c r="N324" s="3"/>
      <c r="O324" s="3"/>
      <c r="P324" s="3"/>
      <c r="Q324" s="3"/>
      <c r="R324" s="3"/>
      <c r="S324" s="3"/>
      <c r="T324" s="3"/>
      <c r="U324" s="3"/>
      <c r="V324" s="3"/>
      <c r="W324" s="3"/>
      <c r="X324" s="3"/>
      <c r="Y324" s="3"/>
    </row>
    <row r="325">
      <c r="A325" s="5"/>
      <c r="B325" s="5"/>
      <c r="C325" s="5"/>
      <c r="D325" s="5"/>
      <c r="E325" s="3"/>
      <c r="F325" s="5"/>
      <c r="G325" s="5"/>
      <c r="H325" s="5"/>
      <c r="I325" s="3"/>
      <c r="J325" s="3"/>
      <c r="K325" s="3"/>
      <c r="L325" s="3"/>
      <c r="M325" s="3"/>
      <c r="N325" s="3"/>
      <c r="O325" s="3"/>
      <c r="P325" s="3"/>
      <c r="Q325" s="3"/>
      <c r="R325" s="3"/>
      <c r="S325" s="3"/>
      <c r="T325" s="3"/>
      <c r="U325" s="3"/>
      <c r="V325" s="3"/>
      <c r="W325" s="3"/>
      <c r="X325" s="3"/>
      <c r="Y325" s="3"/>
    </row>
    <row r="326">
      <c r="A326" s="5"/>
      <c r="B326" s="5"/>
      <c r="C326" s="5"/>
      <c r="D326" s="5"/>
      <c r="E326" s="3"/>
      <c r="F326" s="5"/>
      <c r="G326" s="5"/>
      <c r="H326" s="5"/>
      <c r="I326" s="3"/>
      <c r="J326" s="3"/>
      <c r="K326" s="3"/>
      <c r="L326" s="3"/>
      <c r="M326" s="3"/>
      <c r="N326" s="3"/>
      <c r="O326" s="3"/>
      <c r="P326" s="3"/>
      <c r="Q326" s="3"/>
      <c r="R326" s="3"/>
      <c r="S326" s="3"/>
      <c r="T326" s="3"/>
      <c r="U326" s="3"/>
      <c r="V326" s="3"/>
      <c r="W326" s="3"/>
      <c r="X326" s="3"/>
      <c r="Y326" s="3"/>
    </row>
    <row r="327">
      <c r="A327" s="5"/>
      <c r="B327" s="5"/>
      <c r="C327" s="5"/>
      <c r="D327" s="5"/>
      <c r="E327" s="3"/>
      <c r="F327" s="5"/>
      <c r="G327" s="5"/>
      <c r="H327" s="5"/>
      <c r="I327" s="3"/>
      <c r="J327" s="3"/>
      <c r="K327" s="3"/>
      <c r="L327" s="3"/>
      <c r="M327" s="3"/>
      <c r="N327" s="3"/>
      <c r="O327" s="3"/>
      <c r="P327" s="3"/>
      <c r="Q327" s="3"/>
      <c r="R327" s="3"/>
      <c r="S327" s="3"/>
      <c r="T327" s="3"/>
      <c r="U327" s="3"/>
      <c r="V327" s="3"/>
      <c r="W327" s="3"/>
      <c r="X327" s="3"/>
      <c r="Y327" s="3"/>
    </row>
    <row r="328">
      <c r="A328" s="5"/>
      <c r="B328" s="5"/>
      <c r="C328" s="5"/>
      <c r="D328" s="5"/>
      <c r="E328" s="3"/>
      <c r="F328" s="5"/>
      <c r="G328" s="5"/>
      <c r="H328" s="5"/>
      <c r="I328" s="3"/>
      <c r="J328" s="3"/>
      <c r="K328" s="3"/>
      <c r="L328" s="3"/>
      <c r="M328" s="3"/>
      <c r="N328" s="3"/>
      <c r="O328" s="3"/>
      <c r="P328" s="3"/>
      <c r="Q328" s="3"/>
      <c r="R328" s="3"/>
      <c r="S328" s="3"/>
      <c r="T328" s="3"/>
      <c r="U328" s="3"/>
      <c r="V328" s="3"/>
      <c r="W328" s="3"/>
      <c r="X328" s="3"/>
      <c r="Y328" s="3"/>
    </row>
    <row r="329">
      <c r="A329" s="5"/>
      <c r="B329" s="5"/>
      <c r="C329" s="5"/>
      <c r="D329" s="5"/>
      <c r="E329" s="3"/>
      <c r="F329" s="5"/>
      <c r="G329" s="5"/>
      <c r="H329" s="5"/>
      <c r="I329" s="3"/>
      <c r="J329" s="3"/>
      <c r="K329" s="3"/>
      <c r="L329" s="3"/>
      <c r="M329" s="3"/>
      <c r="N329" s="3"/>
      <c r="O329" s="3"/>
      <c r="P329" s="3"/>
      <c r="Q329" s="3"/>
      <c r="R329" s="3"/>
      <c r="S329" s="3"/>
      <c r="T329" s="3"/>
      <c r="U329" s="3"/>
      <c r="V329" s="3"/>
      <c r="W329" s="3"/>
      <c r="X329" s="3"/>
      <c r="Y329" s="3"/>
    </row>
    <row r="330">
      <c r="A330" s="5"/>
      <c r="B330" s="5"/>
      <c r="C330" s="5"/>
      <c r="D330" s="5"/>
      <c r="E330" s="3"/>
      <c r="F330" s="5"/>
      <c r="G330" s="5"/>
      <c r="H330" s="5"/>
      <c r="I330" s="3"/>
      <c r="J330" s="3"/>
      <c r="K330" s="3"/>
      <c r="L330" s="3"/>
      <c r="M330" s="3"/>
      <c r="N330" s="3"/>
      <c r="O330" s="3"/>
      <c r="P330" s="3"/>
      <c r="Q330" s="3"/>
      <c r="R330" s="3"/>
      <c r="S330" s="3"/>
      <c r="T330" s="3"/>
      <c r="U330" s="3"/>
      <c r="V330" s="3"/>
      <c r="W330" s="3"/>
      <c r="X330" s="3"/>
      <c r="Y330" s="3"/>
    </row>
    <row r="331">
      <c r="A331" s="5"/>
      <c r="B331" s="5"/>
      <c r="C331" s="5"/>
      <c r="D331" s="5"/>
      <c r="E331" s="3"/>
      <c r="F331" s="5"/>
      <c r="G331" s="5"/>
      <c r="H331" s="5"/>
      <c r="I331" s="3"/>
      <c r="J331" s="3"/>
      <c r="K331" s="3"/>
      <c r="L331" s="3"/>
      <c r="M331" s="3"/>
      <c r="N331" s="3"/>
      <c r="O331" s="3"/>
      <c r="P331" s="3"/>
      <c r="Q331" s="3"/>
      <c r="R331" s="3"/>
      <c r="S331" s="3"/>
      <c r="T331" s="3"/>
      <c r="U331" s="3"/>
      <c r="V331" s="3"/>
      <c r="W331" s="3"/>
      <c r="X331" s="3"/>
      <c r="Y331" s="3"/>
    </row>
    <row r="332">
      <c r="A332" s="5"/>
      <c r="B332" s="5"/>
      <c r="C332" s="5"/>
      <c r="D332" s="5"/>
      <c r="E332" s="3"/>
      <c r="F332" s="5"/>
      <c r="G332" s="5"/>
      <c r="H332" s="5"/>
      <c r="I332" s="3"/>
      <c r="J332" s="3"/>
      <c r="K332" s="3"/>
      <c r="L332" s="3"/>
      <c r="M332" s="3"/>
      <c r="N332" s="3"/>
      <c r="O332" s="3"/>
      <c r="P332" s="3"/>
      <c r="Q332" s="3"/>
      <c r="R332" s="3"/>
      <c r="S332" s="3"/>
      <c r="T332" s="3"/>
      <c r="U332" s="3"/>
      <c r="V332" s="3"/>
      <c r="W332" s="3"/>
      <c r="X332" s="3"/>
      <c r="Y332" s="3"/>
    </row>
    <row r="333">
      <c r="A333" s="5"/>
      <c r="B333" s="5"/>
      <c r="C333" s="5"/>
      <c r="D333" s="5"/>
      <c r="E333" s="3"/>
      <c r="F333" s="5"/>
      <c r="G333" s="5"/>
      <c r="H333" s="5"/>
      <c r="I333" s="3"/>
      <c r="J333" s="3"/>
      <c r="K333" s="3"/>
      <c r="L333" s="3"/>
      <c r="M333" s="3"/>
      <c r="N333" s="3"/>
      <c r="O333" s="3"/>
      <c r="P333" s="3"/>
      <c r="Q333" s="3"/>
      <c r="R333" s="3"/>
      <c r="S333" s="3"/>
      <c r="T333" s="3"/>
      <c r="U333" s="3"/>
      <c r="V333" s="3"/>
      <c r="W333" s="3"/>
      <c r="X333" s="3"/>
      <c r="Y333" s="3"/>
    </row>
    <row r="334">
      <c r="A334" s="5"/>
      <c r="B334" s="5"/>
      <c r="C334" s="5"/>
      <c r="D334" s="5"/>
      <c r="E334" s="3"/>
      <c r="F334" s="5"/>
      <c r="G334" s="5"/>
      <c r="H334" s="5"/>
      <c r="I334" s="3"/>
      <c r="J334" s="3"/>
      <c r="K334" s="3"/>
      <c r="L334" s="3"/>
      <c r="M334" s="3"/>
      <c r="N334" s="3"/>
      <c r="O334" s="3"/>
      <c r="P334" s="3"/>
      <c r="Q334" s="3"/>
      <c r="R334" s="3"/>
      <c r="S334" s="3"/>
      <c r="T334" s="3"/>
      <c r="U334" s="3"/>
      <c r="V334" s="3"/>
      <c r="W334" s="3"/>
      <c r="X334" s="3"/>
      <c r="Y334" s="3"/>
    </row>
    <row r="335">
      <c r="A335" s="5"/>
      <c r="B335" s="5"/>
      <c r="C335" s="5"/>
      <c r="D335" s="5"/>
      <c r="E335" s="3"/>
      <c r="F335" s="5"/>
      <c r="G335" s="5"/>
      <c r="H335" s="5"/>
      <c r="I335" s="3"/>
      <c r="J335" s="3"/>
      <c r="K335" s="3"/>
      <c r="L335" s="3"/>
      <c r="M335" s="3"/>
      <c r="N335" s="3"/>
      <c r="O335" s="3"/>
      <c r="P335" s="3"/>
      <c r="Q335" s="3"/>
      <c r="R335" s="3"/>
      <c r="S335" s="3"/>
      <c r="T335" s="3"/>
      <c r="U335" s="3"/>
      <c r="V335" s="3"/>
      <c r="W335" s="3"/>
      <c r="X335" s="3"/>
      <c r="Y335" s="3"/>
    </row>
    <row r="336">
      <c r="A336" s="5"/>
      <c r="B336" s="5"/>
      <c r="C336" s="5"/>
      <c r="D336" s="5"/>
      <c r="E336" s="3"/>
      <c r="F336" s="5"/>
      <c r="G336" s="5"/>
      <c r="H336" s="5"/>
      <c r="I336" s="3"/>
      <c r="J336" s="3"/>
      <c r="K336" s="3"/>
      <c r="L336" s="3"/>
      <c r="M336" s="3"/>
      <c r="N336" s="3"/>
      <c r="O336" s="3"/>
      <c r="P336" s="3"/>
      <c r="Q336" s="3"/>
      <c r="R336" s="3"/>
      <c r="S336" s="3"/>
      <c r="T336" s="3"/>
      <c r="U336" s="3"/>
      <c r="V336" s="3"/>
      <c r="W336" s="3"/>
      <c r="X336" s="3"/>
      <c r="Y336" s="3"/>
    </row>
    <row r="337">
      <c r="A337" s="5"/>
      <c r="B337" s="5"/>
      <c r="C337" s="5"/>
      <c r="D337" s="5"/>
      <c r="E337" s="3"/>
      <c r="F337" s="5"/>
      <c r="G337" s="5"/>
      <c r="H337" s="5"/>
      <c r="I337" s="3"/>
      <c r="J337" s="3"/>
      <c r="K337" s="3"/>
      <c r="L337" s="3"/>
      <c r="M337" s="3"/>
      <c r="N337" s="3"/>
      <c r="O337" s="3"/>
      <c r="P337" s="3"/>
      <c r="Q337" s="3"/>
      <c r="R337" s="3"/>
      <c r="S337" s="3"/>
      <c r="T337" s="3"/>
      <c r="U337" s="3"/>
      <c r="V337" s="3"/>
      <c r="W337" s="3"/>
      <c r="X337" s="3"/>
      <c r="Y337" s="3"/>
    </row>
    <row r="338">
      <c r="A338" s="5"/>
      <c r="B338" s="5"/>
      <c r="C338" s="5"/>
      <c r="D338" s="5"/>
      <c r="E338" s="3"/>
      <c r="F338" s="5"/>
      <c r="G338" s="5"/>
      <c r="H338" s="5"/>
      <c r="I338" s="3"/>
      <c r="J338" s="3"/>
      <c r="K338" s="3"/>
      <c r="L338" s="3"/>
      <c r="M338" s="3"/>
      <c r="N338" s="3"/>
      <c r="O338" s="3"/>
      <c r="P338" s="3"/>
      <c r="Q338" s="3"/>
      <c r="R338" s="3"/>
      <c r="S338" s="3"/>
      <c r="T338" s="3"/>
      <c r="U338" s="3"/>
      <c r="V338" s="3"/>
      <c r="W338" s="3"/>
      <c r="X338" s="3"/>
      <c r="Y338" s="3"/>
    </row>
    <row r="339">
      <c r="A339" s="5"/>
      <c r="B339" s="5"/>
      <c r="C339" s="5"/>
      <c r="D339" s="5"/>
      <c r="E339" s="3"/>
      <c r="F339" s="5"/>
      <c r="G339" s="5"/>
      <c r="H339" s="5"/>
      <c r="I339" s="3"/>
      <c r="J339" s="3"/>
      <c r="K339" s="3"/>
      <c r="L339" s="3"/>
      <c r="M339" s="3"/>
      <c r="N339" s="3"/>
      <c r="O339" s="3"/>
      <c r="P339" s="3"/>
      <c r="Q339" s="3"/>
      <c r="R339" s="3"/>
      <c r="S339" s="3"/>
      <c r="T339" s="3"/>
      <c r="U339" s="3"/>
      <c r="V339" s="3"/>
      <c r="W339" s="3"/>
      <c r="X339" s="3"/>
      <c r="Y339" s="3"/>
    </row>
    <row r="340">
      <c r="A340" s="5"/>
      <c r="B340" s="5"/>
      <c r="C340" s="5"/>
      <c r="D340" s="5"/>
      <c r="E340" s="3"/>
      <c r="F340" s="5"/>
      <c r="G340" s="5"/>
      <c r="H340" s="5"/>
      <c r="I340" s="3"/>
      <c r="J340" s="3"/>
      <c r="K340" s="3"/>
      <c r="L340" s="3"/>
      <c r="M340" s="3"/>
      <c r="N340" s="3"/>
      <c r="O340" s="3"/>
      <c r="P340" s="3"/>
      <c r="Q340" s="3"/>
      <c r="R340" s="3"/>
      <c r="S340" s="3"/>
      <c r="T340" s="3"/>
      <c r="U340" s="3"/>
      <c r="V340" s="3"/>
      <c r="W340" s="3"/>
      <c r="X340" s="3"/>
      <c r="Y340" s="3"/>
    </row>
    <row r="341">
      <c r="A341" s="5"/>
      <c r="B341" s="5"/>
      <c r="C341" s="5"/>
      <c r="D341" s="5"/>
      <c r="E341" s="3"/>
      <c r="F341" s="5"/>
      <c r="G341" s="5"/>
      <c r="H341" s="5"/>
      <c r="I341" s="3"/>
      <c r="J341" s="3"/>
      <c r="K341" s="3"/>
      <c r="L341" s="3"/>
      <c r="M341" s="3"/>
      <c r="N341" s="3"/>
      <c r="O341" s="3"/>
      <c r="P341" s="3"/>
      <c r="Q341" s="3"/>
      <c r="R341" s="3"/>
      <c r="S341" s="3"/>
      <c r="T341" s="3"/>
      <c r="U341" s="3"/>
      <c r="V341" s="3"/>
      <c r="W341" s="3"/>
      <c r="X341" s="3"/>
      <c r="Y341" s="3"/>
    </row>
    <row r="342">
      <c r="A342" s="5"/>
      <c r="B342" s="5"/>
      <c r="C342" s="5"/>
      <c r="D342" s="5"/>
      <c r="E342" s="3"/>
      <c r="F342" s="5"/>
      <c r="G342" s="5"/>
      <c r="H342" s="5"/>
      <c r="I342" s="3"/>
      <c r="J342" s="3"/>
      <c r="K342" s="3"/>
      <c r="L342" s="3"/>
      <c r="M342" s="3"/>
      <c r="N342" s="3"/>
      <c r="O342" s="3"/>
      <c r="P342" s="3"/>
      <c r="Q342" s="3"/>
      <c r="R342" s="3"/>
      <c r="S342" s="3"/>
      <c r="T342" s="3"/>
      <c r="U342" s="3"/>
      <c r="V342" s="3"/>
      <c r="W342" s="3"/>
      <c r="X342" s="3"/>
      <c r="Y342" s="3"/>
    </row>
    <row r="343">
      <c r="A343" s="5"/>
      <c r="B343" s="5"/>
      <c r="C343" s="5"/>
      <c r="D343" s="5"/>
      <c r="E343" s="3"/>
      <c r="F343" s="5"/>
      <c r="G343" s="5"/>
      <c r="H343" s="5"/>
      <c r="I343" s="3"/>
      <c r="J343" s="3"/>
      <c r="K343" s="3"/>
      <c r="L343" s="3"/>
      <c r="M343" s="3"/>
      <c r="N343" s="3"/>
      <c r="O343" s="3"/>
      <c r="P343" s="3"/>
      <c r="Q343" s="3"/>
      <c r="R343" s="3"/>
      <c r="S343" s="3"/>
      <c r="T343" s="3"/>
      <c r="U343" s="3"/>
      <c r="V343" s="3"/>
      <c r="W343" s="3"/>
      <c r="X343" s="3"/>
      <c r="Y343" s="3"/>
    </row>
    <row r="344">
      <c r="A344" s="5"/>
      <c r="B344" s="5"/>
      <c r="C344" s="5"/>
      <c r="D344" s="5"/>
      <c r="E344" s="3"/>
      <c r="F344" s="5"/>
      <c r="G344" s="5"/>
      <c r="H344" s="5"/>
      <c r="I344" s="3"/>
      <c r="J344" s="3"/>
      <c r="K344" s="3"/>
      <c r="L344" s="3"/>
      <c r="M344" s="3"/>
      <c r="N344" s="3"/>
      <c r="O344" s="3"/>
      <c r="P344" s="3"/>
      <c r="Q344" s="3"/>
      <c r="R344" s="3"/>
      <c r="S344" s="3"/>
      <c r="T344" s="3"/>
      <c r="U344" s="3"/>
      <c r="V344" s="3"/>
      <c r="W344" s="3"/>
      <c r="X344" s="3"/>
      <c r="Y344" s="3"/>
    </row>
    <row r="345">
      <c r="A345" s="5"/>
      <c r="B345" s="5"/>
      <c r="C345" s="5"/>
      <c r="D345" s="5"/>
      <c r="E345" s="3"/>
      <c r="F345" s="5"/>
      <c r="G345" s="5"/>
      <c r="H345" s="5"/>
      <c r="I345" s="3"/>
      <c r="J345" s="3"/>
      <c r="K345" s="3"/>
      <c r="L345" s="3"/>
      <c r="M345" s="3"/>
      <c r="N345" s="3"/>
      <c r="O345" s="3"/>
      <c r="P345" s="3"/>
      <c r="Q345" s="3"/>
      <c r="R345" s="3"/>
      <c r="S345" s="3"/>
      <c r="T345" s="3"/>
      <c r="U345" s="3"/>
      <c r="V345" s="3"/>
      <c r="W345" s="3"/>
      <c r="X345" s="3"/>
      <c r="Y345" s="3"/>
    </row>
    <row r="346">
      <c r="A346" s="5"/>
      <c r="B346" s="5"/>
      <c r="C346" s="5"/>
      <c r="D346" s="5"/>
      <c r="E346" s="3"/>
      <c r="F346" s="5"/>
      <c r="G346" s="5"/>
      <c r="H346" s="5"/>
      <c r="I346" s="3"/>
      <c r="J346" s="3"/>
      <c r="K346" s="3"/>
      <c r="L346" s="3"/>
      <c r="M346" s="3"/>
      <c r="N346" s="3"/>
      <c r="O346" s="3"/>
      <c r="P346" s="3"/>
      <c r="Q346" s="3"/>
      <c r="R346" s="3"/>
      <c r="S346" s="3"/>
      <c r="T346" s="3"/>
      <c r="U346" s="3"/>
      <c r="V346" s="3"/>
      <c r="W346" s="3"/>
      <c r="X346" s="3"/>
      <c r="Y346" s="3"/>
    </row>
    <row r="347">
      <c r="A347" s="5"/>
      <c r="B347" s="5"/>
      <c r="C347" s="5"/>
      <c r="D347" s="5"/>
      <c r="E347" s="3"/>
      <c r="F347" s="5"/>
      <c r="G347" s="5"/>
      <c r="H347" s="5"/>
      <c r="I347" s="3"/>
      <c r="J347" s="3"/>
      <c r="K347" s="3"/>
      <c r="L347" s="3"/>
      <c r="M347" s="3"/>
      <c r="N347" s="3"/>
      <c r="O347" s="3"/>
      <c r="P347" s="3"/>
      <c r="Q347" s="3"/>
      <c r="R347" s="3"/>
      <c r="S347" s="3"/>
      <c r="T347" s="3"/>
      <c r="U347" s="3"/>
      <c r="V347" s="3"/>
      <c r="W347" s="3"/>
      <c r="X347" s="3"/>
      <c r="Y347" s="3"/>
    </row>
    <row r="348">
      <c r="A348" s="5"/>
      <c r="B348" s="5"/>
      <c r="C348" s="5"/>
      <c r="D348" s="5"/>
      <c r="E348" s="3"/>
      <c r="F348" s="5"/>
      <c r="G348" s="5"/>
      <c r="H348" s="5"/>
      <c r="I348" s="3"/>
      <c r="J348" s="3"/>
      <c r="K348" s="3"/>
      <c r="L348" s="3"/>
      <c r="M348" s="3"/>
      <c r="N348" s="3"/>
      <c r="O348" s="3"/>
      <c r="P348" s="3"/>
      <c r="Q348" s="3"/>
      <c r="R348" s="3"/>
      <c r="S348" s="3"/>
      <c r="T348" s="3"/>
      <c r="U348" s="3"/>
      <c r="V348" s="3"/>
      <c r="W348" s="3"/>
      <c r="X348" s="3"/>
      <c r="Y348" s="3"/>
    </row>
    <row r="349">
      <c r="A349" s="5"/>
      <c r="B349" s="5"/>
      <c r="C349" s="5"/>
      <c r="D349" s="5"/>
      <c r="E349" s="3"/>
      <c r="F349" s="5"/>
      <c r="G349" s="5"/>
      <c r="H349" s="5"/>
      <c r="I349" s="3"/>
      <c r="J349" s="3"/>
      <c r="K349" s="3"/>
      <c r="L349" s="3"/>
      <c r="M349" s="3"/>
      <c r="N349" s="3"/>
      <c r="O349" s="3"/>
      <c r="P349" s="3"/>
      <c r="Q349" s="3"/>
      <c r="R349" s="3"/>
      <c r="S349" s="3"/>
      <c r="T349" s="3"/>
      <c r="U349" s="3"/>
      <c r="V349" s="3"/>
      <c r="W349" s="3"/>
      <c r="X349" s="3"/>
      <c r="Y349" s="3"/>
    </row>
    <row r="350">
      <c r="A350" s="5"/>
      <c r="B350" s="5"/>
      <c r="C350" s="5"/>
      <c r="D350" s="5"/>
      <c r="E350" s="3"/>
      <c r="F350" s="5"/>
      <c r="G350" s="5"/>
      <c r="H350" s="5"/>
      <c r="I350" s="3"/>
      <c r="J350" s="3"/>
      <c r="K350" s="3"/>
      <c r="L350" s="3"/>
      <c r="M350" s="3"/>
      <c r="N350" s="3"/>
      <c r="O350" s="3"/>
      <c r="P350" s="3"/>
      <c r="Q350" s="3"/>
      <c r="R350" s="3"/>
      <c r="S350" s="3"/>
      <c r="T350" s="3"/>
      <c r="U350" s="3"/>
      <c r="V350" s="3"/>
      <c r="W350" s="3"/>
      <c r="X350" s="3"/>
      <c r="Y350" s="3"/>
    </row>
    <row r="351">
      <c r="A351" s="5"/>
      <c r="B351" s="5"/>
      <c r="C351" s="5"/>
      <c r="D351" s="5"/>
      <c r="E351" s="3"/>
      <c r="F351" s="5"/>
      <c r="G351" s="5"/>
      <c r="H351" s="5"/>
      <c r="I351" s="3"/>
      <c r="J351" s="3"/>
      <c r="K351" s="3"/>
      <c r="L351" s="3"/>
      <c r="M351" s="3"/>
      <c r="N351" s="3"/>
      <c r="O351" s="3"/>
      <c r="P351" s="3"/>
      <c r="Q351" s="3"/>
      <c r="R351" s="3"/>
      <c r="S351" s="3"/>
      <c r="T351" s="3"/>
      <c r="U351" s="3"/>
      <c r="V351" s="3"/>
      <c r="W351" s="3"/>
      <c r="X351" s="3"/>
      <c r="Y351" s="3"/>
    </row>
    <row r="352">
      <c r="A352" s="5"/>
      <c r="B352" s="5"/>
      <c r="C352" s="5"/>
      <c r="D352" s="5"/>
      <c r="E352" s="3"/>
      <c r="F352" s="5"/>
      <c r="G352" s="5"/>
      <c r="H352" s="5"/>
      <c r="I352" s="3"/>
      <c r="J352" s="3"/>
      <c r="K352" s="3"/>
      <c r="L352" s="3"/>
      <c r="M352" s="3"/>
      <c r="N352" s="3"/>
      <c r="O352" s="3"/>
      <c r="P352" s="3"/>
      <c r="Q352" s="3"/>
      <c r="R352" s="3"/>
      <c r="S352" s="3"/>
      <c r="T352" s="3"/>
      <c r="U352" s="3"/>
      <c r="V352" s="3"/>
      <c r="W352" s="3"/>
      <c r="X352" s="3"/>
      <c r="Y352" s="3"/>
    </row>
    <row r="353">
      <c r="A353" s="5"/>
      <c r="B353" s="5"/>
      <c r="C353" s="5"/>
      <c r="D353" s="5"/>
      <c r="E353" s="3"/>
      <c r="F353" s="5"/>
      <c r="G353" s="5"/>
      <c r="H353" s="5"/>
      <c r="I353" s="3"/>
      <c r="J353" s="3"/>
      <c r="K353" s="3"/>
      <c r="L353" s="3"/>
      <c r="M353" s="3"/>
      <c r="N353" s="3"/>
      <c r="O353" s="3"/>
      <c r="P353" s="3"/>
      <c r="Q353" s="3"/>
      <c r="R353" s="3"/>
      <c r="S353" s="3"/>
      <c r="T353" s="3"/>
      <c r="U353" s="3"/>
      <c r="V353" s="3"/>
      <c r="W353" s="3"/>
      <c r="X353" s="3"/>
      <c r="Y353" s="3"/>
    </row>
    <row r="354">
      <c r="A354" s="5"/>
      <c r="B354" s="5"/>
      <c r="C354" s="5"/>
      <c r="D354" s="5"/>
      <c r="E354" s="3"/>
      <c r="F354" s="5"/>
      <c r="G354" s="5"/>
      <c r="H354" s="5"/>
      <c r="I354" s="3"/>
      <c r="J354" s="3"/>
      <c r="K354" s="3"/>
      <c r="L354" s="3"/>
      <c r="M354" s="3"/>
      <c r="N354" s="3"/>
      <c r="O354" s="3"/>
      <c r="P354" s="3"/>
      <c r="Q354" s="3"/>
      <c r="R354" s="3"/>
      <c r="S354" s="3"/>
      <c r="T354" s="3"/>
      <c r="U354" s="3"/>
      <c r="V354" s="3"/>
      <c r="W354" s="3"/>
      <c r="X354" s="3"/>
      <c r="Y354" s="3"/>
    </row>
    <row r="355">
      <c r="A355" s="5"/>
      <c r="B355" s="5"/>
      <c r="C355" s="5"/>
      <c r="D355" s="5"/>
      <c r="E355" s="3"/>
      <c r="F355" s="5"/>
      <c r="G355" s="5"/>
      <c r="H355" s="5"/>
      <c r="I355" s="3"/>
      <c r="J355" s="3"/>
      <c r="K355" s="3"/>
      <c r="L355" s="3"/>
      <c r="M355" s="3"/>
      <c r="N355" s="3"/>
      <c r="O355" s="3"/>
      <c r="P355" s="3"/>
      <c r="Q355" s="3"/>
      <c r="R355" s="3"/>
      <c r="S355" s="3"/>
      <c r="T355" s="3"/>
      <c r="U355" s="3"/>
      <c r="V355" s="3"/>
      <c r="W355" s="3"/>
      <c r="X355" s="3"/>
      <c r="Y355" s="3"/>
    </row>
    <row r="356">
      <c r="A356" s="5"/>
      <c r="B356" s="5"/>
      <c r="C356" s="5"/>
      <c r="D356" s="5"/>
      <c r="E356" s="3"/>
      <c r="F356" s="5"/>
      <c r="G356" s="5"/>
      <c r="H356" s="5"/>
      <c r="I356" s="3"/>
      <c r="J356" s="3"/>
      <c r="K356" s="3"/>
      <c r="L356" s="3"/>
      <c r="M356" s="3"/>
      <c r="N356" s="3"/>
      <c r="O356" s="3"/>
      <c r="P356" s="3"/>
      <c r="Q356" s="3"/>
      <c r="R356" s="3"/>
      <c r="S356" s="3"/>
      <c r="T356" s="3"/>
      <c r="U356" s="3"/>
      <c r="V356" s="3"/>
      <c r="W356" s="3"/>
      <c r="X356" s="3"/>
      <c r="Y356" s="3"/>
    </row>
    <row r="357">
      <c r="A357" s="5"/>
      <c r="B357" s="5"/>
      <c r="C357" s="5"/>
      <c r="D357" s="5"/>
      <c r="E357" s="3"/>
      <c r="F357" s="5"/>
      <c r="G357" s="5"/>
      <c r="H357" s="5"/>
      <c r="I357" s="3"/>
      <c r="J357" s="3"/>
      <c r="K357" s="3"/>
      <c r="L357" s="3"/>
      <c r="M357" s="3"/>
      <c r="N357" s="3"/>
      <c r="O357" s="3"/>
      <c r="P357" s="3"/>
      <c r="Q357" s="3"/>
      <c r="R357" s="3"/>
      <c r="S357" s="3"/>
      <c r="T357" s="3"/>
      <c r="U357" s="3"/>
      <c r="V357" s="3"/>
      <c r="W357" s="3"/>
      <c r="X357" s="3"/>
      <c r="Y357" s="3"/>
    </row>
    <row r="358">
      <c r="A358" s="5"/>
      <c r="B358" s="5"/>
      <c r="C358" s="5"/>
      <c r="D358" s="5"/>
      <c r="E358" s="3"/>
      <c r="F358" s="5"/>
      <c r="G358" s="5"/>
      <c r="H358" s="5"/>
      <c r="I358" s="3"/>
      <c r="J358" s="3"/>
      <c r="K358" s="3"/>
      <c r="L358" s="3"/>
      <c r="M358" s="3"/>
      <c r="N358" s="3"/>
      <c r="O358" s="3"/>
      <c r="P358" s="3"/>
      <c r="Q358" s="3"/>
      <c r="R358" s="3"/>
      <c r="S358" s="3"/>
      <c r="T358" s="3"/>
      <c r="U358" s="3"/>
      <c r="V358" s="3"/>
      <c r="W358" s="3"/>
      <c r="X358" s="3"/>
      <c r="Y358" s="3"/>
    </row>
    <row r="359">
      <c r="A359" s="5"/>
      <c r="B359" s="5"/>
      <c r="C359" s="5"/>
      <c r="D359" s="5"/>
      <c r="E359" s="3"/>
      <c r="F359" s="5"/>
      <c r="G359" s="5"/>
      <c r="H359" s="5"/>
      <c r="I359" s="3"/>
      <c r="J359" s="3"/>
      <c r="K359" s="3"/>
      <c r="L359" s="3"/>
      <c r="M359" s="3"/>
      <c r="N359" s="3"/>
      <c r="O359" s="3"/>
      <c r="P359" s="3"/>
      <c r="Q359" s="3"/>
      <c r="R359" s="3"/>
      <c r="S359" s="3"/>
      <c r="T359" s="3"/>
      <c r="U359" s="3"/>
      <c r="V359" s="3"/>
      <c r="W359" s="3"/>
      <c r="X359" s="3"/>
      <c r="Y359" s="3"/>
    </row>
    <row r="360">
      <c r="A360" s="5"/>
      <c r="B360" s="5"/>
      <c r="C360" s="5"/>
      <c r="D360" s="5"/>
      <c r="E360" s="3"/>
      <c r="F360" s="5"/>
      <c r="G360" s="5"/>
      <c r="H360" s="5"/>
      <c r="I360" s="3"/>
      <c r="J360" s="3"/>
      <c r="K360" s="3"/>
      <c r="L360" s="3"/>
      <c r="M360" s="3"/>
      <c r="N360" s="3"/>
      <c r="O360" s="3"/>
      <c r="P360" s="3"/>
      <c r="Q360" s="3"/>
      <c r="R360" s="3"/>
      <c r="S360" s="3"/>
      <c r="T360" s="3"/>
      <c r="U360" s="3"/>
      <c r="V360" s="3"/>
      <c r="W360" s="3"/>
      <c r="X360" s="3"/>
      <c r="Y360" s="3"/>
    </row>
    <row r="361">
      <c r="A361" s="5"/>
      <c r="B361" s="5"/>
      <c r="C361" s="5"/>
      <c r="D361" s="5"/>
      <c r="E361" s="3"/>
      <c r="F361" s="5"/>
      <c r="G361" s="5"/>
      <c r="H361" s="5"/>
      <c r="I361" s="3"/>
      <c r="J361" s="3"/>
      <c r="K361" s="3"/>
      <c r="L361" s="3"/>
      <c r="M361" s="3"/>
      <c r="N361" s="3"/>
      <c r="O361" s="3"/>
      <c r="P361" s="3"/>
      <c r="Q361" s="3"/>
      <c r="R361" s="3"/>
      <c r="S361" s="3"/>
      <c r="T361" s="3"/>
      <c r="U361" s="3"/>
      <c r="V361" s="3"/>
      <c r="W361" s="3"/>
      <c r="X361" s="3"/>
      <c r="Y361" s="3"/>
    </row>
    <row r="362">
      <c r="A362" s="5"/>
      <c r="B362" s="5"/>
      <c r="C362" s="5"/>
      <c r="D362" s="5"/>
      <c r="E362" s="3"/>
      <c r="F362" s="5"/>
      <c r="G362" s="5"/>
      <c r="H362" s="5"/>
      <c r="I362" s="3"/>
      <c r="J362" s="3"/>
      <c r="K362" s="3"/>
      <c r="L362" s="3"/>
      <c r="M362" s="3"/>
      <c r="N362" s="3"/>
      <c r="O362" s="3"/>
      <c r="P362" s="3"/>
      <c r="Q362" s="3"/>
      <c r="R362" s="3"/>
      <c r="S362" s="3"/>
      <c r="T362" s="3"/>
      <c r="U362" s="3"/>
      <c r="V362" s="3"/>
      <c r="W362" s="3"/>
      <c r="X362" s="3"/>
      <c r="Y362" s="3"/>
    </row>
    <row r="363">
      <c r="A363" s="5"/>
      <c r="B363" s="5"/>
      <c r="C363" s="5"/>
      <c r="D363" s="5"/>
      <c r="E363" s="3"/>
      <c r="F363" s="5"/>
      <c r="G363" s="5"/>
      <c r="H363" s="5"/>
      <c r="I363" s="3"/>
      <c r="J363" s="3"/>
      <c r="K363" s="3"/>
      <c r="L363" s="3"/>
      <c r="M363" s="3"/>
      <c r="N363" s="3"/>
      <c r="O363" s="3"/>
      <c r="P363" s="3"/>
      <c r="Q363" s="3"/>
      <c r="R363" s="3"/>
      <c r="S363" s="3"/>
      <c r="T363" s="3"/>
      <c r="U363" s="3"/>
      <c r="V363" s="3"/>
      <c r="W363" s="3"/>
      <c r="X363" s="3"/>
      <c r="Y363" s="3"/>
    </row>
    <row r="364">
      <c r="A364" s="5"/>
      <c r="B364" s="5"/>
      <c r="C364" s="5"/>
      <c r="D364" s="5"/>
      <c r="E364" s="3"/>
      <c r="F364" s="5"/>
      <c r="G364" s="5"/>
      <c r="H364" s="5"/>
      <c r="I364" s="3"/>
      <c r="J364" s="3"/>
      <c r="K364" s="3"/>
      <c r="L364" s="3"/>
      <c r="M364" s="3"/>
      <c r="N364" s="3"/>
      <c r="O364" s="3"/>
      <c r="P364" s="3"/>
      <c r="Q364" s="3"/>
      <c r="R364" s="3"/>
      <c r="S364" s="3"/>
      <c r="T364" s="3"/>
      <c r="U364" s="3"/>
      <c r="V364" s="3"/>
      <c r="W364" s="3"/>
      <c r="X364" s="3"/>
      <c r="Y364" s="3"/>
    </row>
    <row r="365">
      <c r="A365" s="5"/>
      <c r="B365" s="5"/>
      <c r="C365" s="5"/>
      <c r="D365" s="5"/>
      <c r="E365" s="3"/>
      <c r="F365" s="5"/>
      <c r="G365" s="5"/>
      <c r="H365" s="5"/>
      <c r="I365" s="3"/>
      <c r="J365" s="3"/>
      <c r="K365" s="3"/>
      <c r="L365" s="3"/>
      <c r="M365" s="3"/>
      <c r="N365" s="3"/>
      <c r="O365" s="3"/>
      <c r="P365" s="3"/>
      <c r="Q365" s="3"/>
      <c r="R365" s="3"/>
      <c r="S365" s="3"/>
      <c r="T365" s="3"/>
      <c r="U365" s="3"/>
      <c r="V365" s="3"/>
      <c r="W365" s="3"/>
      <c r="X365" s="3"/>
      <c r="Y365" s="3"/>
    </row>
    <row r="366">
      <c r="A366" s="5"/>
      <c r="B366" s="5"/>
      <c r="C366" s="5"/>
      <c r="D366" s="5"/>
      <c r="E366" s="3"/>
      <c r="F366" s="5"/>
      <c r="G366" s="5"/>
      <c r="H366" s="5"/>
      <c r="I366" s="3"/>
      <c r="J366" s="3"/>
      <c r="K366" s="3"/>
      <c r="L366" s="3"/>
      <c r="M366" s="3"/>
      <c r="N366" s="3"/>
      <c r="O366" s="3"/>
      <c r="P366" s="3"/>
      <c r="Q366" s="3"/>
      <c r="R366" s="3"/>
      <c r="S366" s="3"/>
      <c r="T366" s="3"/>
      <c r="U366" s="3"/>
      <c r="V366" s="3"/>
      <c r="W366" s="3"/>
      <c r="X366" s="3"/>
      <c r="Y366" s="3"/>
    </row>
    <row r="367">
      <c r="A367" s="5"/>
      <c r="B367" s="5"/>
      <c r="C367" s="5"/>
      <c r="D367" s="5"/>
      <c r="E367" s="3"/>
      <c r="F367" s="5"/>
      <c r="G367" s="5"/>
      <c r="H367" s="5"/>
      <c r="I367" s="3"/>
      <c r="J367" s="3"/>
      <c r="K367" s="3"/>
      <c r="L367" s="3"/>
      <c r="M367" s="3"/>
      <c r="N367" s="3"/>
      <c r="O367" s="3"/>
      <c r="P367" s="3"/>
      <c r="Q367" s="3"/>
      <c r="R367" s="3"/>
      <c r="S367" s="3"/>
      <c r="T367" s="3"/>
      <c r="U367" s="3"/>
      <c r="V367" s="3"/>
      <c r="W367" s="3"/>
      <c r="X367" s="3"/>
      <c r="Y367" s="3"/>
    </row>
    <row r="368">
      <c r="A368" s="5"/>
      <c r="B368" s="5"/>
      <c r="C368" s="5"/>
      <c r="D368" s="5"/>
      <c r="E368" s="3"/>
      <c r="F368" s="5"/>
      <c r="G368" s="5"/>
      <c r="H368" s="5"/>
      <c r="I368" s="3"/>
      <c r="J368" s="3"/>
      <c r="K368" s="3"/>
      <c r="L368" s="3"/>
      <c r="M368" s="3"/>
      <c r="N368" s="3"/>
      <c r="O368" s="3"/>
      <c r="P368" s="3"/>
      <c r="Q368" s="3"/>
      <c r="R368" s="3"/>
      <c r="S368" s="3"/>
      <c r="T368" s="3"/>
      <c r="U368" s="3"/>
      <c r="V368" s="3"/>
      <c r="W368" s="3"/>
      <c r="X368" s="3"/>
      <c r="Y368" s="3"/>
    </row>
    <row r="369">
      <c r="A369" s="5"/>
      <c r="B369" s="5"/>
      <c r="C369" s="5"/>
      <c r="D369" s="5"/>
      <c r="E369" s="3"/>
      <c r="F369" s="5"/>
      <c r="G369" s="5"/>
      <c r="H369" s="5"/>
      <c r="I369" s="3"/>
      <c r="J369" s="3"/>
      <c r="K369" s="3"/>
      <c r="L369" s="3"/>
      <c r="M369" s="3"/>
      <c r="N369" s="3"/>
      <c r="O369" s="3"/>
      <c r="P369" s="3"/>
      <c r="Q369" s="3"/>
      <c r="R369" s="3"/>
      <c r="S369" s="3"/>
      <c r="T369" s="3"/>
      <c r="U369" s="3"/>
      <c r="V369" s="3"/>
      <c r="W369" s="3"/>
      <c r="X369" s="3"/>
      <c r="Y369" s="3"/>
    </row>
    <row r="370">
      <c r="A370" s="5"/>
      <c r="B370" s="5"/>
      <c r="C370" s="5"/>
      <c r="D370" s="5"/>
      <c r="E370" s="3"/>
      <c r="F370" s="5"/>
      <c r="G370" s="5"/>
      <c r="H370" s="5"/>
      <c r="I370" s="3"/>
      <c r="J370" s="3"/>
      <c r="K370" s="3"/>
      <c r="L370" s="3"/>
      <c r="M370" s="3"/>
      <c r="N370" s="3"/>
      <c r="O370" s="3"/>
      <c r="P370" s="3"/>
      <c r="Q370" s="3"/>
      <c r="R370" s="3"/>
      <c r="S370" s="3"/>
      <c r="T370" s="3"/>
      <c r="U370" s="3"/>
      <c r="V370" s="3"/>
      <c r="W370" s="3"/>
      <c r="X370" s="3"/>
      <c r="Y370" s="3"/>
    </row>
    <row r="371">
      <c r="A371" s="5"/>
      <c r="B371" s="5"/>
      <c r="C371" s="5"/>
      <c r="D371" s="5"/>
      <c r="E371" s="3"/>
      <c r="F371" s="5"/>
      <c r="G371" s="5"/>
      <c r="H371" s="5"/>
      <c r="I371" s="3"/>
      <c r="J371" s="3"/>
      <c r="K371" s="3"/>
      <c r="L371" s="3"/>
      <c r="M371" s="3"/>
      <c r="N371" s="3"/>
      <c r="O371" s="3"/>
      <c r="P371" s="3"/>
      <c r="Q371" s="3"/>
      <c r="R371" s="3"/>
      <c r="S371" s="3"/>
      <c r="T371" s="3"/>
      <c r="U371" s="3"/>
      <c r="V371" s="3"/>
      <c r="W371" s="3"/>
      <c r="X371" s="3"/>
      <c r="Y371" s="3"/>
    </row>
    <row r="372">
      <c r="A372" s="5"/>
      <c r="B372" s="5"/>
      <c r="C372" s="5"/>
      <c r="D372" s="5"/>
      <c r="E372" s="3"/>
      <c r="F372" s="5"/>
      <c r="G372" s="5"/>
      <c r="H372" s="5"/>
      <c r="I372" s="3"/>
      <c r="J372" s="3"/>
      <c r="K372" s="3"/>
      <c r="L372" s="3"/>
      <c r="M372" s="3"/>
      <c r="N372" s="3"/>
      <c r="O372" s="3"/>
      <c r="P372" s="3"/>
      <c r="Q372" s="3"/>
      <c r="R372" s="3"/>
      <c r="S372" s="3"/>
      <c r="T372" s="3"/>
      <c r="U372" s="3"/>
      <c r="V372" s="3"/>
      <c r="W372" s="3"/>
      <c r="X372" s="3"/>
      <c r="Y372" s="3"/>
    </row>
    <row r="373">
      <c r="A373" s="5"/>
      <c r="B373" s="5"/>
      <c r="C373" s="5"/>
      <c r="D373" s="5"/>
      <c r="E373" s="3"/>
      <c r="F373" s="5"/>
      <c r="G373" s="5"/>
      <c r="H373" s="5"/>
      <c r="I373" s="3"/>
      <c r="J373" s="3"/>
      <c r="K373" s="3"/>
      <c r="L373" s="3"/>
      <c r="M373" s="3"/>
      <c r="N373" s="3"/>
      <c r="O373" s="3"/>
      <c r="P373" s="3"/>
      <c r="Q373" s="3"/>
      <c r="R373" s="3"/>
      <c r="S373" s="3"/>
      <c r="T373" s="3"/>
      <c r="U373" s="3"/>
      <c r="V373" s="3"/>
      <c r="W373" s="3"/>
      <c r="X373" s="3"/>
      <c r="Y373" s="3"/>
    </row>
    <row r="374">
      <c r="A374" s="5"/>
      <c r="B374" s="5"/>
      <c r="C374" s="5"/>
      <c r="D374" s="5"/>
      <c r="E374" s="3"/>
      <c r="F374" s="5"/>
      <c r="G374" s="5"/>
      <c r="H374" s="5"/>
      <c r="I374" s="3"/>
      <c r="J374" s="3"/>
      <c r="K374" s="3"/>
      <c r="L374" s="3"/>
      <c r="M374" s="3"/>
      <c r="N374" s="3"/>
      <c r="O374" s="3"/>
      <c r="P374" s="3"/>
      <c r="Q374" s="3"/>
      <c r="R374" s="3"/>
      <c r="S374" s="3"/>
      <c r="T374" s="3"/>
      <c r="U374" s="3"/>
      <c r="V374" s="3"/>
      <c r="W374" s="3"/>
      <c r="X374" s="3"/>
      <c r="Y374" s="3"/>
    </row>
    <row r="375">
      <c r="A375" s="5"/>
      <c r="B375" s="5"/>
      <c r="C375" s="5"/>
      <c r="D375" s="5"/>
      <c r="E375" s="3"/>
      <c r="F375" s="5"/>
      <c r="G375" s="5"/>
      <c r="H375" s="5"/>
      <c r="I375" s="3"/>
      <c r="J375" s="3"/>
      <c r="K375" s="3"/>
      <c r="L375" s="3"/>
      <c r="M375" s="3"/>
      <c r="N375" s="3"/>
      <c r="O375" s="3"/>
      <c r="P375" s="3"/>
      <c r="Q375" s="3"/>
      <c r="R375" s="3"/>
      <c r="S375" s="3"/>
      <c r="T375" s="3"/>
      <c r="U375" s="3"/>
      <c r="V375" s="3"/>
      <c r="W375" s="3"/>
      <c r="X375" s="3"/>
      <c r="Y375" s="3"/>
    </row>
    <row r="376">
      <c r="A376" s="5"/>
      <c r="B376" s="5"/>
      <c r="C376" s="5"/>
      <c r="D376" s="5"/>
      <c r="E376" s="3"/>
      <c r="F376" s="5"/>
      <c r="G376" s="5"/>
      <c r="H376" s="5"/>
      <c r="I376" s="3"/>
      <c r="J376" s="3"/>
      <c r="K376" s="3"/>
      <c r="L376" s="3"/>
      <c r="M376" s="3"/>
      <c r="N376" s="3"/>
      <c r="O376" s="3"/>
      <c r="P376" s="3"/>
      <c r="Q376" s="3"/>
      <c r="R376" s="3"/>
      <c r="S376" s="3"/>
      <c r="T376" s="3"/>
      <c r="U376" s="3"/>
      <c r="V376" s="3"/>
      <c r="W376" s="3"/>
      <c r="X376" s="3"/>
      <c r="Y376" s="3"/>
    </row>
    <row r="377">
      <c r="A377" s="5"/>
      <c r="B377" s="5"/>
      <c r="C377" s="5"/>
      <c r="D377" s="5"/>
      <c r="E377" s="3"/>
      <c r="F377" s="5"/>
      <c r="G377" s="5"/>
      <c r="H377" s="5"/>
      <c r="I377" s="3"/>
      <c r="J377" s="3"/>
      <c r="K377" s="3"/>
      <c r="L377" s="3"/>
      <c r="M377" s="3"/>
      <c r="N377" s="3"/>
      <c r="O377" s="3"/>
      <c r="P377" s="3"/>
      <c r="Q377" s="3"/>
      <c r="R377" s="3"/>
      <c r="S377" s="3"/>
      <c r="T377" s="3"/>
      <c r="U377" s="3"/>
      <c r="V377" s="3"/>
      <c r="W377" s="3"/>
      <c r="X377" s="3"/>
      <c r="Y377" s="3"/>
    </row>
    <row r="378">
      <c r="A378" s="5"/>
      <c r="B378" s="5"/>
      <c r="C378" s="5"/>
      <c r="D378" s="5"/>
      <c r="E378" s="3"/>
      <c r="F378" s="5"/>
      <c r="G378" s="5"/>
      <c r="H378" s="5"/>
      <c r="I378" s="3"/>
      <c r="J378" s="3"/>
      <c r="K378" s="3"/>
      <c r="L378" s="3"/>
      <c r="M378" s="3"/>
      <c r="N378" s="3"/>
      <c r="O378" s="3"/>
      <c r="P378" s="3"/>
      <c r="Q378" s="3"/>
      <c r="R378" s="3"/>
      <c r="S378" s="3"/>
      <c r="T378" s="3"/>
      <c r="U378" s="3"/>
      <c r="V378" s="3"/>
      <c r="W378" s="3"/>
      <c r="X378" s="3"/>
      <c r="Y378" s="3"/>
    </row>
    <row r="379">
      <c r="A379" s="5"/>
      <c r="B379" s="5"/>
      <c r="C379" s="5"/>
      <c r="D379" s="5"/>
      <c r="E379" s="3"/>
      <c r="F379" s="5"/>
      <c r="G379" s="5"/>
      <c r="H379" s="5"/>
      <c r="I379" s="3"/>
      <c r="J379" s="3"/>
      <c r="K379" s="3"/>
      <c r="L379" s="3"/>
      <c r="M379" s="3"/>
      <c r="N379" s="3"/>
      <c r="O379" s="3"/>
      <c r="P379" s="3"/>
      <c r="Q379" s="3"/>
      <c r="R379" s="3"/>
      <c r="S379" s="3"/>
      <c r="T379" s="3"/>
      <c r="U379" s="3"/>
      <c r="V379" s="3"/>
      <c r="W379" s="3"/>
      <c r="X379" s="3"/>
      <c r="Y379" s="3"/>
    </row>
    <row r="380">
      <c r="A380" s="5"/>
      <c r="B380" s="5"/>
      <c r="C380" s="5"/>
      <c r="D380" s="5"/>
      <c r="E380" s="3"/>
      <c r="F380" s="5"/>
      <c r="G380" s="5"/>
      <c r="H380" s="5"/>
      <c r="I380" s="3"/>
      <c r="J380" s="3"/>
      <c r="K380" s="3"/>
      <c r="L380" s="3"/>
      <c r="M380" s="3"/>
      <c r="N380" s="3"/>
      <c r="O380" s="3"/>
      <c r="P380" s="3"/>
      <c r="Q380" s="3"/>
      <c r="R380" s="3"/>
      <c r="S380" s="3"/>
      <c r="T380" s="3"/>
      <c r="U380" s="3"/>
      <c r="V380" s="3"/>
      <c r="W380" s="3"/>
      <c r="X380" s="3"/>
      <c r="Y380" s="3"/>
    </row>
    <row r="381">
      <c r="A381" s="5"/>
      <c r="B381" s="5"/>
      <c r="C381" s="5"/>
      <c r="D381" s="5"/>
      <c r="E381" s="3"/>
      <c r="F381" s="5"/>
      <c r="G381" s="5"/>
      <c r="H381" s="5"/>
      <c r="I381" s="3"/>
      <c r="J381" s="3"/>
      <c r="K381" s="3"/>
      <c r="L381" s="3"/>
      <c r="M381" s="3"/>
      <c r="N381" s="3"/>
      <c r="O381" s="3"/>
      <c r="P381" s="3"/>
      <c r="Q381" s="3"/>
      <c r="R381" s="3"/>
      <c r="S381" s="3"/>
      <c r="T381" s="3"/>
      <c r="U381" s="3"/>
      <c r="V381" s="3"/>
      <c r="W381" s="3"/>
      <c r="X381" s="3"/>
      <c r="Y381" s="3"/>
    </row>
    <row r="382">
      <c r="A382" s="5"/>
      <c r="B382" s="5"/>
      <c r="C382" s="5"/>
      <c r="D382" s="5"/>
      <c r="E382" s="3"/>
      <c r="F382" s="5"/>
      <c r="G382" s="5"/>
      <c r="H382" s="5"/>
      <c r="I382" s="3"/>
      <c r="J382" s="3"/>
      <c r="K382" s="3"/>
      <c r="L382" s="3"/>
      <c r="M382" s="3"/>
      <c r="N382" s="3"/>
      <c r="O382" s="3"/>
      <c r="P382" s="3"/>
      <c r="Q382" s="3"/>
      <c r="R382" s="3"/>
      <c r="S382" s="3"/>
      <c r="T382" s="3"/>
      <c r="U382" s="3"/>
      <c r="V382" s="3"/>
      <c r="W382" s="3"/>
      <c r="X382" s="3"/>
      <c r="Y382" s="3"/>
    </row>
    <row r="383">
      <c r="A383" s="5"/>
      <c r="B383" s="5"/>
      <c r="C383" s="5"/>
      <c r="D383" s="5"/>
      <c r="E383" s="3"/>
      <c r="F383" s="5"/>
      <c r="G383" s="5"/>
      <c r="H383" s="5"/>
      <c r="I383" s="3"/>
      <c r="J383" s="3"/>
      <c r="K383" s="3"/>
      <c r="L383" s="3"/>
      <c r="M383" s="3"/>
      <c r="N383" s="3"/>
      <c r="O383" s="3"/>
      <c r="P383" s="3"/>
      <c r="Q383" s="3"/>
      <c r="R383" s="3"/>
      <c r="S383" s="3"/>
      <c r="T383" s="3"/>
      <c r="U383" s="3"/>
      <c r="V383" s="3"/>
      <c r="W383" s="3"/>
      <c r="X383" s="3"/>
      <c r="Y383" s="3"/>
    </row>
    <row r="384">
      <c r="A384" s="5"/>
      <c r="B384" s="5"/>
      <c r="C384" s="5"/>
      <c r="D384" s="5"/>
      <c r="E384" s="3"/>
      <c r="F384" s="5"/>
      <c r="G384" s="5"/>
      <c r="H384" s="5"/>
      <c r="I384" s="3"/>
      <c r="J384" s="3"/>
      <c r="K384" s="3"/>
      <c r="L384" s="3"/>
      <c r="M384" s="3"/>
      <c r="N384" s="3"/>
      <c r="O384" s="3"/>
      <c r="P384" s="3"/>
      <c r="Q384" s="3"/>
      <c r="R384" s="3"/>
      <c r="S384" s="3"/>
      <c r="T384" s="3"/>
      <c r="U384" s="3"/>
      <c r="V384" s="3"/>
      <c r="W384" s="3"/>
      <c r="X384" s="3"/>
      <c r="Y384" s="3"/>
    </row>
    <row r="385">
      <c r="A385" s="5"/>
      <c r="B385" s="5"/>
      <c r="C385" s="5"/>
      <c r="D385" s="5"/>
      <c r="E385" s="3"/>
      <c r="F385" s="5"/>
      <c r="G385" s="5"/>
      <c r="H385" s="5"/>
      <c r="I385" s="3"/>
      <c r="J385" s="3"/>
      <c r="K385" s="3"/>
      <c r="L385" s="3"/>
      <c r="M385" s="3"/>
      <c r="N385" s="3"/>
      <c r="O385" s="3"/>
      <c r="P385" s="3"/>
      <c r="Q385" s="3"/>
      <c r="R385" s="3"/>
      <c r="S385" s="3"/>
      <c r="T385" s="3"/>
      <c r="U385" s="3"/>
      <c r="V385" s="3"/>
      <c r="W385" s="3"/>
      <c r="X385" s="3"/>
      <c r="Y385" s="3"/>
    </row>
    <row r="386">
      <c r="A386" s="5"/>
      <c r="B386" s="5"/>
      <c r="C386" s="5"/>
      <c r="D386" s="5"/>
      <c r="E386" s="3"/>
      <c r="F386" s="5"/>
      <c r="G386" s="5"/>
      <c r="H386" s="5"/>
      <c r="I386" s="3"/>
      <c r="J386" s="3"/>
      <c r="K386" s="3"/>
      <c r="L386" s="3"/>
      <c r="M386" s="3"/>
      <c r="N386" s="3"/>
      <c r="O386" s="3"/>
      <c r="P386" s="3"/>
      <c r="Q386" s="3"/>
      <c r="R386" s="3"/>
      <c r="S386" s="3"/>
      <c r="T386" s="3"/>
      <c r="U386" s="3"/>
      <c r="V386" s="3"/>
      <c r="W386" s="3"/>
      <c r="X386" s="3"/>
      <c r="Y386" s="3"/>
    </row>
    <row r="387">
      <c r="A387" s="5"/>
      <c r="B387" s="5"/>
      <c r="C387" s="5"/>
      <c r="D387" s="5"/>
      <c r="E387" s="3"/>
      <c r="F387" s="5"/>
      <c r="G387" s="5"/>
      <c r="H387" s="5"/>
      <c r="I387" s="3"/>
      <c r="J387" s="3"/>
      <c r="K387" s="3"/>
      <c r="L387" s="3"/>
      <c r="M387" s="3"/>
      <c r="N387" s="3"/>
      <c r="O387" s="3"/>
      <c r="P387" s="3"/>
      <c r="Q387" s="3"/>
      <c r="R387" s="3"/>
      <c r="S387" s="3"/>
      <c r="T387" s="3"/>
      <c r="U387" s="3"/>
      <c r="V387" s="3"/>
      <c r="W387" s="3"/>
      <c r="X387" s="3"/>
      <c r="Y387" s="3"/>
    </row>
    <row r="388">
      <c r="A388" s="5"/>
      <c r="B388" s="5"/>
      <c r="C388" s="5"/>
      <c r="D388" s="5"/>
      <c r="E388" s="3"/>
      <c r="F388" s="5"/>
      <c r="G388" s="5"/>
      <c r="H388" s="5"/>
      <c r="I388" s="3"/>
      <c r="J388" s="3"/>
      <c r="K388" s="3"/>
      <c r="L388" s="3"/>
      <c r="M388" s="3"/>
      <c r="N388" s="3"/>
      <c r="O388" s="3"/>
      <c r="P388" s="3"/>
      <c r="Q388" s="3"/>
      <c r="R388" s="3"/>
      <c r="S388" s="3"/>
      <c r="T388" s="3"/>
      <c r="U388" s="3"/>
      <c r="V388" s="3"/>
      <c r="W388" s="3"/>
      <c r="X388" s="3"/>
      <c r="Y388" s="3"/>
    </row>
    <row r="389">
      <c r="A389" s="5"/>
      <c r="B389" s="5"/>
      <c r="C389" s="5"/>
      <c r="D389" s="5"/>
      <c r="E389" s="3"/>
      <c r="F389" s="5"/>
      <c r="G389" s="5"/>
      <c r="H389" s="5"/>
      <c r="I389" s="3"/>
      <c r="J389" s="3"/>
      <c r="K389" s="3"/>
      <c r="L389" s="3"/>
      <c r="M389" s="3"/>
      <c r="N389" s="3"/>
      <c r="O389" s="3"/>
      <c r="P389" s="3"/>
      <c r="Q389" s="3"/>
      <c r="R389" s="3"/>
      <c r="S389" s="3"/>
      <c r="T389" s="3"/>
      <c r="U389" s="3"/>
      <c r="V389" s="3"/>
      <c r="W389" s="3"/>
      <c r="X389" s="3"/>
      <c r="Y389" s="3"/>
    </row>
    <row r="390">
      <c r="A390" s="5"/>
      <c r="B390" s="5"/>
      <c r="C390" s="5"/>
      <c r="D390" s="5"/>
      <c r="E390" s="3"/>
      <c r="F390" s="5"/>
      <c r="G390" s="5"/>
      <c r="H390" s="5"/>
      <c r="I390" s="3"/>
      <c r="J390" s="3"/>
      <c r="K390" s="3"/>
      <c r="L390" s="3"/>
      <c r="M390" s="3"/>
      <c r="N390" s="3"/>
      <c r="O390" s="3"/>
      <c r="P390" s="3"/>
      <c r="Q390" s="3"/>
      <c r="R390" s="3"/>
      <c r="S390" s="3"/>
      <c r="T390" s="3"/>
      <c r="U390" s="3"/>
      <c r="V390" s="3"/>
      <c r="W390" s="3"/>
      <c r="X390" s="3"/>
      <c r="Y390" s="3"/>
    </row>
    <row r="391">
      <c r="A391" s="5"/>
      <c r="B391" s="5"/>
      <c r="C391" s="5"/>
      <c r="D391" s="5"/>
      <c r="E391" s="3"/>
      <c r="F391" s="5"/>
      <c r="G391" s="5"/>
      <c r="H391" s="5"/>
      <c r="I391" s="3"/>
      <c r="J391" s="3"/>
      <c r="K391" s="3"/>
      <c r="L391" s="3"/>
      <c r="M391" s="3"/>
      <c r="N391" s="3"/>
      <c r="O391" s="3"/>
      <c r="P391" s="3"/>
      <c r="Q391" s="3"/>
      <c r="R391" s="3"/>
      <c r="S391" s="3"/>
      <c r="T391" s="3"/>
      <c r="U391" s="3"/>
      <c r="V391" s="3"/>
      <c r="W391" s="3"/>
      <c r="X391" s="3"/>
      <c r="Y391" s="3"/>
    </row>
    <row r="392">
      <c r="A392" s="5"/>
      <c r="B392" s="5"/>
      <c r="C392" s="5"/>
      <c r="D392" s="5"/>
      <c r="E392" s="3"/>
      <c r="F392" s="5"/>
      <c r="G392" s="5"/>
      <c r="H392" s="5"/>
      <c r="I392" s="3"/>
      <c r="J392" s="3"/>
      <c r="K392" s="3"/>
      <c r="L392" s="3"/>
      <c r="M392" s="3"/>
      <c r="N392" s="3"/>
      <c r="O392" s="3"/>
      <c r="P392" s="3"/>
      <c r="Q392" s="3"/>
      <c r="R392" s="3"/>
      <c r="S392" s="3"/>
      <c r="T392" s="3"/>
      <c r="U392" s="3"/>
      <c r="V392" s="3"/>
      <c r="W392" s="3"/>
      <c r="X392" s="3"/>
      <c r="Y392" s="3"/>
    </row>
    <row r="393">
      <c r="A393" s="5"/>
      <c r="B393" s="5"/>
      <c r="C393" s="5"/>
      <c r="D393" s="5"/>
      <c r="E393" s="3"/>
      <c r="F393" s="5"/>
      <c r="G393" s="5"/>
      <c r="H393" s="5"/>
      <c r="I393" s="3"/>
      <c r="J393" s="3"/>
      <c r="K393" s="3"/>
      <c r="L393" s="3"/>
      <c r="M393" s="3"/>
      <c r="N393" s="3"/>
      <c r="O393" s="3"/>
      <c r="P393" s="3"/>
      <c r="Q393" s="3"/>
      <c r="R393" s="3"/>
      <c r="S393" s="3"/>
      <c r="T393" s="3"/>
      <c r="U393" s="3"/>
      <c r="V393" s="3"/>
      <c r="W393" s="3"/>
      <c r="X393" s="3"/>
      <c r="Y393" s="3"/>
    </row>
    <row r="394">
      <c r="A394" s="5"/>
      <c r="B394" s="5"/>
      <c r="C394" s="5"/>
      <c r="D394" s="5"/>
      <c r="E394" s="3"/>
      <c r="F394" s="5"/>
      <c r="G394" s="5"/>
      <c r="H394" s="5"/>
      <c r="I394" s="3"/>
      <c r="J394" s="3"/>
      <c r="K394" s="3"/>
      <c r="L394" s="3"/>
      <c r="M394" s="3"/>
      <c r="N394" s="3"/>
      <c r="O394" s="3"/>
      <c r="P394" s="3"/>
      <c r="Q394" s="3"/>
      <c r="R394" s="3"/>
      <c r="S394" s="3"/>
      <c r="T394" s="3"/>
      <c r="U394" s="3"/>
      <c r="V394" s="3"/>
      <c r="W394" s="3"/>
      <c r="X394" s="3"/>
      <c r="Y394" s="3"/>
    </row>
    <row r="395">
      <c r="A395" s="5"/>
      <c r="B395" s="5"/>
      <c r="C395" s="5"/>
      <c r="D395" s="5"/>
      <c r="E395" s="3"/>
      <c r="F395" s="5"/>
      <c r="G395" s="5"/>
      <c r="H395" s="5"/>
      <c r="I395" s="3"/>
      <c r="J395" s="3"/>
      <c r="K395" s="3"/>
      <c r="L395" s="3"/>
      <c r="M395" s="3"/>
      <c r="N395" s="3"/>
      <c r="O395" s="3"/>
      <c r="P395" s="3"/>
      <c r="Q395" s="3"/>
      <c r="R395" s="3"/>
      <c r="S395" s="3"/>
      <c r="T395" s="3"/>
      <c r="U395" s="3"/>
      <c r="V395" s="3"/>
      <c r="W395" s="3"/>
      <c r="X395" s="3"/>
      <c r="Y395" s="3"/>
    </row>
    <row r="396">
      <c r="A396" s="5"/>
      <c r="B396" s="5"/>
      <c r="C396" s="5"/>
      <c r="D396" s="5"/>
      <c r="E396" s="3"/>
      <c r="F396" s="5"/>
      <c r="G396" s="5"/>
      <c r="H396" s="5"/>
      <c r="I396" s="3"/>
      <c r="J396" s="3"/>
      <c r="K396" s="3"/>
      <c r="L396" s="3"/>
      <c r="M396" s="3"/>
      <c r="N396" s="3"/>
      <c r="O396" s="3"/>
      <c r="P396" s="3"/>
      <c r="Q396" s="3"/>
      <c r="R396" s="3"/>
      <c r="S396" s="3"/>
      <c r="T396" s="3"/>
      <c r="U396" s="3"/>
      <c r="V396" s="3"/>
      <c r="W396" s="3"/>
      <c r="X396" s="3"/>
      <c r="Y396" s="3"/>
    </row>
    <row r="397">
      <c r="A397" s="5"/>
      <c r="B397" s="5"/>
      <c r="C397" s="5"/>
      <c r="D397" s="5"/>
      <c r="E397" s="3"/>
      <c r="F397" s="5"/>
      <c r="G397" s="5"/>
      <c r="H397" s="5"/>
      <c r="I397" s="3"/>
      <c r="J397" s="3"/>
      <c r="K397" s="3"/>
      <c r="L397" s="3"/>
      <c r="M397" s="3"/>
      <c r="N397" s="3"/>
      <c r="O397" s="3"/>
      <c r="P397" s="3"/>
      <c r="Q397" s="3"/>
      <c r="R397" s="3"/>
      <c r="S397" s="3"/>
      <c r="T397" s="3"/>
      <c r="U397" s="3"/>
      <c r="V397" s="3"/>
      <c r="W397" s="3"/>
      <c r="X397" s="3"/>
      <c r="Y397" s="3"/>
    </row>
    <row r="398">
      <c r="A398" s="5"/>
      <c r="B398" s="5"/>
      <c r="C398" s="5"/>
      <c r="D398" s="5"/>
      <c r="E398" s="3"/>
      <c r="F398" s="5"/>
      <c r="G398" s="5"/>
      <c r="H398" s="5"/>
      <c r="I398" s="3"/>
      <c r="J398" s="3"/>
      <c r="K398" s="3"/>
      <c r="L398" s="3"/>
      <c r="M398" s="3"/>
      <c r="N398" s="3"/>
      <c r="O398" s="3"/>
      <c r="P398" s="3"/>
      <c r="Q398" s="3"/>
      <c r="R398" s="3"/>
      <c r="S398" s="3"/>
      <c r="T398" s="3"/>
      <c r="U398" s="3"/>
      <c r="V398" s="3"/>
      <c r="W398" s="3"/>
      <c r="X398" s="3"/>
      <c r="Y398" s="3"/>
    </row>
    <row r="399">
      <c r="A399" s="5"/>
      <c r="B399" s="5"/>
      <c r="C399" s="5"/>
      <c r="D399" s="5"/>
      <c r="E399" s="3"/>
      <c r="F399" s="5"/>
      <c r="G399" s="5"/>
      <c r="H399" s="5"/>
      <c r="I399" s="3"/>
      <c r="J399" s="3"/>
      <c r="K399" s="3"/>
      <c r="L399" s="3"/>
      <c r="M399" s="3"/>
      <c r="N399" s="3"/>
      <c r="O399" s="3"/>
      <c r="P399" s="3"/>
      <c r="Q399" s="3"/>
      <c r="R399" s="3"/>
      <c r="S399" s="3"/>
      <c r="T399" s="3"/>
      <c r="U399" s="3"/>
      <c r="V399" s="3"/>
      <c r="W399" s="3"/>
      <c r="X399" s="3"/>
      <c r="Y399" s="3"/>
    </row>
    <row r="400">
      <c r="A400" s="5"/>
      <c r="B400" s="5"/>
      <c r="C400" s="5"/>
      <c r="D400" s="5"/>
      <c r="E400" s="3"/>
      <c r="F400" s="5"/>
      <c r="G400" s="5"/>
      <c r="H400" s="5"/>
      <c r="I400" s="3"/>
      <c r="J400" s="3"/>
      <c r="K400" s="3"/>
      <c r="L400" s="3"/>
      <c r="M400" s="3"/>
      <c r="N400" s="3"/>
      <c r="O400" s="3"/>
      <c r="P400" s="3"/>
      <c r="Q400" s="3"/>
      <c r="R400" s="3"/>
      <c r="S400" s="3"/>
      <c r="T400" s="3"/>
      <c r="U400" s="3"/>
      <c r="V400" s="3"/>
      <c r="W400" s="3"/>
      <c r="X400" s="3"/>
      <c r="Y400" s="3"/>
    </row>
    <row r="401">
      <c r="A401" s="5"/>
      <c r="B401" s="5"/>
      <c r="C401" s="5"/>
      <c r="D401" s="5"/>
      <c r="E401" s="3"/>
      <c r="F401" s="5"/>
      <c r="G401" s="5"/>
      <c r="H401" s="5"/>
      <c r="I401" s="3"/>
      <c r="J401" s="3"/>
      <c r="K401" s="3"/>
      <c r="L401" s="3"/>
      <c r="M401" s="3"/>
      <c r="N401" s="3"/>
      <c r="O401" s="3"/>
      <c r="P401" s="3"/>
      <c r="Q401" s="3"/>
      <c r="R401" s="3"/>
      <c r="S401" s="3"/>
      <c r="T401" s="3"/>
      <c r="U401" s="3"/>
      <c r="V401" s="3"/>
      <c r="W401" s="3"/>
      <c r="X401" s="3"/>
      <c r="Y401" s="3"/>
    </row>
    <row r="402">
      <c r="A402" s="5"/>
      <c r="B402" s="5"/>
      <c r="C402" s="5"/>
      <c r="D402" s="5"/>
      <c r="E402" s="3"/>
      <c r="F402" s="5"/>
      <c r="G402" s="5"/>
      <c r="H402" s="5"/>
      <c r="I402" s="3"/>
      <c r="J402" s="3"/>
      <c r="K402" s="3"/>
      <c r="L402" s="3"/>
      <c r="M402" s="3"/>
      <c r="N402" s="3"/>
      <c r="O402" s="3"/>
      <c r="P402" s="3"/>
      <c r="Q402" s="3"/>
      <c r="R402" s="3"/>
      <c r="S402" s="3"/>
      <c r="T402" s="3"/>
      <c r="U402" s="3"/>
      <c r="V402" s="3"/>
      <c r="W402" s="3"/>
      <c r="X402" s="3"/>
      <c r="Y402" s="3"/>
    </row>
    <row r="403">
      <c r="A403" s="5"/>
      <c r="B403" s="5"/>
      <c r="C403" s="5"/>
      <c r="D403" s="5"/>
      <c r="E403" s="3"/>
      <c r="F403" s="5"/>
      <c r="G403" s="5"/>
      <c r="H403" s="5"/>
      <c r="I403" s="3"/>
      <c r="J403" s="3"/>
      <c r="K403" s="3"/>
      <c r="L403" s="3"/>
      <c r="M403" s="3"/>
      <c r="N403" s="3"/>
      <c r="O403" s="3"/>
      <c r="P403" s="3"/>
      <c r="Q403" s="3"/>
      <c r="R403" s="3"/>
      <c r="S403" s="3"/>
      <c r="T403" s="3"/>
      <c r="U403" s="3"/>
      <c r="V403" s="3"/>
      <c r="W403" s="3"/>
      <c r="X403" s="3"/>
      <c r="Y403" s="3"/>
    </row>
    <row r="404">
      <c r="A404" s="5"/>
      <c r="B404" s="5"/>
      <c r="C404" s="5"/>
      <c r="D404" s="5"/>
      <c r="E404" s="3"/>
      <c r="F404" s="5"/>
      <c r="G404" s="5"/>
      <c r="H404" s="5"/>
      <c r="I404" s="3"/>
      <c r="J404" s="3"/>
      <c r="K404" s="3"/>
      <c r="L404" s="3"/>
      <c r="M404" s="3"/>
      <c r="N404" s="3"/>
      <c r="O404" s="3"/>
      <c r="P404" s="3"/>
      <c r="Q404" s="3"/>
      <c r="R404" s="3"/>
      <c r="S404" s="3"/>
      <c r="T404" s="3"/>
      <c r="U404" s="3"/>
      <c r="V404" s="3"/>
      <c r="W404" s="3"/>
      <c r="X404" s="3"/>
      <c r="Y404" s="3"/>
    </row>
    <row r="405">
      <c r="A405" s="5"/>
      <c r="B405" s="5"/>
      <c r="C405" s="5"/>
      <c r="D405" s="5"/>
      <c r="E405" s="3"/>
      <c r="F405" s="5"/>
      <c r="G405" s="5"/>
      <c r="H405" s="5"/>
      <c r="I405" s="3"/>
      <c r="J405" s="3"/>
      <c r="K405" s="3"/>
      <c r="L405" s="3"/>
      <c r="M405" s="3"/>
      <c r="N405" s="3"/>
      <c r="O405" s="3"/>
      <c r="P405" s="3"/>
      <c r="Q405" s="3"/>
      <c r="R405" s="3"/>
      <c r="S405" s="3"/>
      <c r="T405" s="3"/>
      <c r="U405" s="3"/>
      <c r="V405" s="3"/>
      <c r="W405" s="3"/>
      <c r="X405" s="3"/>
      <c r="Y405" s="3"/>
    </row>
    <row r="406">
      <c r="A406" s="5"/>
      <c r="B406" s="5"/>
      <c r="C406" s="5"/>
      <c r="D406" s="5"/>
      <c r="E406" s="3"/>
      <c r="F406" s="5"/>
      <c r="G406" s="5"/>
      <c r="H406" s="5"/>
      <c r="I406" s="3"/>
      <c r="J406" s="3"/>
      <c r="K406" s="3"/>
      <c r="L406" s="3"/>
      <c r="M406" s="3"/>
      <c r="N406" s="3"/>
      <c r="O406" s="3"/>
      <c r="P406" s="3"/>
      <c r="Q406" s="3"/>
      <c r="R406" s="3"/>
      <c r="S406" s="3"/>
      <c r="T406" s="3"/>
      <c r="U406" s="3"/>
      <c r="V406" s="3"/>
      <c r="W406" s="3"/>
      <c r="X406" s="3"/>
      <c r="Y406" s="3"/>
    </row>
    <row r="407">
      <c r="A407" s="5"/>
      <c r="B407" s="5"/>
      <c r="C407" s="5"/>
      <c r="D407" s="5"/>
      <c r="E407" s="3"/>
      <c r="F407" s="5"/>
      <c r="G407" s="5"/>
      <c r="H407" s="5"/>
      <c r="I407" s="3"/>
      <c r="J407" s="3"/>
      <c r="K407" s="3"/>
      <c r="L407" s="3"/>
      <c r="M407" s="3"/>
      <c r="N407" s="3"/>
      <c r="O407" s="3"/>
      <c r="P407" s="3"/>
      <c r="Q407" s="3"/>
      <c r="R407" s="3"/>
      <c r="S407" s="3"/>
      <c r="T407" s="3"/>
      <c r="U407" s="3"/>
      <c r="V407" s="3"/>
      <c r="W407" s="3"/>
      <c r="X407" s="3"/>
      <c r="Y407" s="3"/>
    </row>
    <row r="408">
      <c r="A408" s="5"/>
      <c r="B408" s="5"/>
      <c r="C408" s="5"/>
      <c r="D408" s="5"/>
      <c r="E408" s="3"/>
      <c r="F408" s="5"/>
      <c r="G408" s="5"/>
      <c r="H408" s="5"/>
      <c r="I408" s="3"/>
      <c r="J408" s="3"/>
      <c r="K408" s="3"/>
      <c r="L408" s="3"/>
      <c r="M408" s="3"/>
      <c r="N408" s="3"/>
      <c r="O408" s="3"/>
      <c r="P408" s="3"/>
      <c r="Q408" s="3"/>
      <c r="R408" s="3"/>
      <c r="S408" s="3"/>
      <c r="T408" s="3"/>
      <c r="U408" s="3"/>
      <c r="V408" s="3"/>
      <c r="W408" s="3"/>
      <c r="X408" s="3"/>
      <c r="Y408" s="3"/>
    </row>
    <row r="409">
      <c r="A409" s="5"/>
      <c r="B409" s="5"/>
      <c r="C409" s="5"/>
      <c r="D409" s="5"/>
      <c r="E409" s="3"/>
      <c r="F409" s="5"/>
      <c r="G409" s="5"/>
      <c r="H409" s="5"/>
      <c r="I409" s="3"/>
      <c r="J409" s="3"/>
      <c r="K409" s="3"/>
      <c r="L409" s="3"/>
      <c r="M409" s="3"/>
      <c r="N409" s="3"/>
      <c r="O409" s="3"/>
      <c r="P409" s="3"/>
      <c r="Q409" s="3"/>
      <c r="R409" s="3"/>
      <c r="S409" s="3"/>
      <c r="T409" s="3"/>
      <c r="U409" s="3"/>
      <c r="V409" s="3"/>
      <c r="W409" s="3"/>
      <c r="X409" s="3"/>
      <c r="Y409" s="3"/>
    </row>
    <row r="410">
      <c r="A410" s="5"/>
      <c r="B410" s="5"/>
      <c r="C410" s="5"/>
      <c r="D410" s="5"/>
      <c r="E410" s="3"/>
      <c r="F410" s="5"/>
      <c r="G410" s="5"/>
      <c r="H410" s="5"/>
      <c r="I410" s="3"/>
      <c r="J410" s="3"/>
      <c r="K410" s="3"/>
      <c r="L410" s="3"/>
      <c r="M410" s="3"/>
      <c r="N410" s="3"/>
      <c r="O410" s="3"/>
      <c r="P410" s="3"/>
      <c r="Q410" s="3"/>
      <c r="R410" s="3"/>
      <c r="S410" s="3"/>
      <c r="T410" s="3"/>
      <c r="U410" s="3"/>
      <c r="V410" s="3"/>
      <c r="W410" s="3"/>
      <c r="X410" s="3"/>
      <c r="Y410" s="3"/>
    </row>
    <row r="411">
      <c r="A411" s="5"/>
      <c r="B411" s="5"/>
      <c r="C411" s="5"/>
      <c r="D411" s="5"/>
      <c r="E411" s="3"/>
      <c r="F411" s="5"/>
      <c r="G411" s="5"/>
      <c r="H411" s="5"/>
      <c r="I411" s="3"/>
      <c r="J411" s="3"/>
      <c r="K411" s="3"/>
      <c r="L411" s="3"/>
      <c r="M411" s="3"/>
      <c r="N411" s="3"/>
      <c r="O411" s="3"/>
      <c r="P411" s="3"/>
      <c r="Q411" s="3"/>
      <c r="R411" s="3"/>
      <c r="S411" s="3"/>
      <c r="T411" s="3"/>
      <c r="U411" s="3"/>
      <c r="V411" s="3"/>
      <c r="W411" s="3"/>
      <c r="X411" s="3"/>
      <c r="Y411" s="3"/>
    </row>
    <row r="412">
      <c r="A412" s="5"/>
      <c r="B412" s="5"/>
      <c r="C412" s="5"/>
      <c r="D412" s="5"/>
      <c r="E412" s="3"/>
      <c r="F412" s="5"/>
      <c r="G412" s="5"/>
      <c r="H412" s="5"/>
      <c r="I412" s="3"/>
      <c r="J412" s="3"/>
      <c r="K412" s="3"/>
      <c r="L412" s="3"/>
      <c r="M412" s="3"/>
      <c r="N412" s="3"/>
      <c r="O412" s="3"/>
      <c r="P412" s="3"/>
      <c r="Q412" s="3"/>
      <c r="R412" s="3"/>
      <c r="S412" s="3"/>
      <c r="T412" s="3"/>
      <c r="U412" s="3"/>
      <c r="V412" s="3"/>
      <c r="W412" s="3"/>
      <c r="X412" s="3"/>
      <c r="Y412" s="3"/>
    </row>
    <row r="413">
      <c r="A413" s="5"/>
      <c r="B413" s="5"/>
      <c r="C413" s="5"/>
      <c r="D413" s="5"/>
      <c r="E413" s="3"/>
      <c r="F413" s="5"/>
      <c r="G413" s="5"/>
      <c r="H413" s="5"/>
      <c r="I413" s="3"/>
      <c r="J413" s="3"/>
      <c r="K413" s="3"/>
      <c r="L413" s="3"/>
      <c r="M413" s="3"/>
      <c r="N413" s="3"/>
      <c r="O413" s="3"/>
      <c r="P413" s="3"/>
      <c r="Q413" s="3"/>
      <c r="R413" s="3"/>
      <c r="S413" s="3"/>
      <c r="T413" s="3"/>
      <c r="U413" s="3"/>
      <c r="V413" s="3"/>
      <c r="W413" s="3"/>
      <c r="X413" s="3"/>
      <c r="Y413" s="3"/>
    </row>
    <row r="414">
      <c r="A414" s="5"/>
      <c r="B414" s="5"/>
      <c r="C414" s="5"/>
      <c r="D414" s="5"/>
      <c r="E414" s="3"/>
      <c r="F414" s="5"/>
      <c r="G414" s="5"/>
      <c r="H414" s="5"/>
      <c r="I414" s="3"/>
      <c r="J414" s="3"/>
      <c r="K414" s="3"/>
      <c r="L414" s="3"/>
      <c r="M414" s="3"/>
      <c r="N414" s="3"/>
      <c r="O414" s="3"/>
      <c r="P414" s="3"/>
      <c r="Q414" s="3"/>
      <c r="R414" s="3"/>
      <c r="S414" s="3"/>
      <c r="T414" s="3"/>
      <c r="U414" s="3"/>
      <c r="V414" s="3"/>
      <c r="W414" s="3"/>
      <c r="X414" s="3"/>
      <c r="Y414" s="3"/>
    </row>
    <row r="415">
      <c r="A415" s="5"/>
      <c r="B415" s="5"/>
      <c r="C415" s="5"/>
      <c r="D415" s="5"/>
      <c r="E415" s="3"/>
      <c r="F415" s="5"/>
      <c r="G415" s="5"/>
      <c r="H415" s="5"/>
      <c r="I415" s="3"/>
      <c r="J415" s="3"/>
      <c r="K415" s="3"/>
      <c r="L415" s="3"/>
      <c r="M415" s="3"/>
      <c r="N415" s="3"/>
      <c r="O415" s="3"/>
      <c r="P415" s="3"/>
      <c r="Q415" s="3"/>
      <c r="R415" s="3"/>
      <c r="S415" s="3"/>
      <c r="T415" s="3"/>
      <c r="U415" s="3"/>
      <c r="V415" s="3"/>
      <c r="W415" s="3"/>
      <c r="X415" s="3"/>
      <c r="Y415" s="3"/>
    </row>
    <row r="416">
      <c r="A416" s="5"/>
      <c r="B416" s="5"/>
      <c r="C416" s="5"/>
      <c r="D416" s="5"/>
      <c r="E416" s="3"/>
      <c r="F416" s="5"/>
      <c r="G416" s="5"/>
      <c r="H416" s="5"/>
      <c r="I416" s="3"/>
      <c r="J416" s="3"/>
      <c r="K416" s="3"/>
      <c r="L416" s="3"/>
      <c r="M416" s="3"/>
      <c r="N416" s="3"/>
      <c r="O416" s="3"/>
      <c r="P416" s="3"/>
      <c r="Q416" s="3"/>
      <c r="R416" s="3"/>
      <c r="S416" s="3"/>
      <c r="T416" s="3"/>
      <c r="U416" s="3"/>
      <c r="V416" s="3"/>
      <c r="W416" s="3"/>
      <c r="X416" s="3"/>
      <c r="Y416" s="3"/>
    </row>
    <row r="417">
      <c r="A417" s="5"/>
      <c r="B417" s="5"/>
      <c r="C417" s="5"/>
      <c r="D417" s="5"/>
      <c r="E417" s="3"/>
      <c r="F417" s="5"/>
      <c r="G417" s="5"/>
      <c r="H417" s="5"/>
      <c r="I417" s="3"/>
      <c r="J417" s="3"/>
      <c r="K417" s="3"/>
      <c r="L417" s="3"/>
      <c r="M417" s="3"/>
      <c r="N417" s="3"/>
      <c r="O417" s="3"/>
      <c r="P417" s="3"/>
      <c r="Q417" s="3"/>
      <c r="R417" s="3"/>
      <c r="S417" s="3"/>
      <c r="T417" s="3"/>
      <c r="U417" s="3"/>
      <c r="V417" s="3"/>
      <c r="W417" s="3"/>
      <c r="X417" s="3"/>
      <c r="Y417" s="3"/>
    </row>
    <row r="418">
      <c r="A418" s="5"/>
      <c r="B418" s="5"/>
      <c r="C418" s="5"/>
      <c r="D418" s="5"/>
      <c r="E418" s="3"/>
      <c r="F418" s="5"/>
      <c r="G418" s="5"/>
      <c r="H418" s="5"/>
      <c r="I418" s="3"/>
      <c r="J418" s="3"/>
      <c r="K418" s="3"/>
      <c r="L418" s="3"/>
      <c r="M418" s="3"/>
      <c r="N418" s="3"/>
      <c r="O418" s="3"/>
      <c r="P418" s="3"/>
      <c r="Q418" s="3"/>
      <c r="R418" s="3"/>
      <c r="S418" s="3"/>
      <c r="T418" s="3"/>
      <c r="U418" s="3"/>
      <c r="V418" s="3"/>
      <c r="W418" s="3"/>
      <c r="X418" s="3"/>
      <c r="Y418" s="3"/>
    </row>
    <row r="419">
      <c r="A419" s="5"/>
      <c r="B419" s="5"/>
      <c r="C419" s="5"/>
      <c r="D419" s="5"/>
      <c r="E419" s="3"/>
      <c r="F419" s="5"/>
      <c r="G419" s="5"/>
      <c r="H419" s="5"/>
      <c r="I419" s="3"/>
      <c r="J419" s="3"/>
      <c r="K419" s="3"/>
      <c r="L419" s="3"/>
      <c r="M419" s="3"/>
      <c r="N419" s="3"/>
      <c r="O419" s="3"/>
      <c r="P419" s="3"/>
      <c r="Q419" s="3"/>
      <c r="R419" s="3"/>
      <c r="S419" s="3"/>
      <c r="T419" s="3"/>
      <c r="U419" s="3"/>
      <c r="V419" s="3"/>
      <c r="W419" s="3"/>
      <c r="X419" s="3"/>
      <c r="Y419" s="3"/>
    </row>
    <row r="420">
      <c r="A420" s="5"/>
      <c r="B420" s="5"/>
      <c r="C420" s="5"/>
      <c r="D420" s="5"/>
      <c r="E420" s="3"/>
      <c r="F420" s="5"/>
      <c r="G420" s="5"/>
      <c r="H420" s="5"/>
      <c r="I420" s="3"/>
      <c r="J420" s="3"/>
      <c r="K420" s="3"/>
      <c r="L420" s="3"/>
      <c r="M420" s="3"/>
      <c r="N420" s="3"/>
      <c r="O420" s="3"/>
      <c r="P420" s="3"/>
      <c r="Q420" s="3"/>
      <c r="R420" s="3"/>
      <c r="S420" s="3"/>
      <c r="T420" s="3"/>
      <c r="U420" s="3"/>
      <c r="V420" s="3"/>
      <c r="W420" s="3"/>
      <c r="X420" s="3"/>
      <c r="Y420" s="3"/>
    </row>
    <row r="421">
      <c r="A421" s="5"/>
      <c r="B421" s="5"/>
      <c r="C421" s="5"/>
      <c r="D421" s="5"/>
      <c r="E421" s="3"/>
      <c r="F421" s="5"/>
      <c r="G421" s="5"/>
      <c r="H421" s="5"/>
      <c r="I421" s="3"/>
      <c r="J421" s="3"/>
      <c r="K421" s="3"/>
      <c r="L421" s="3"/>
      <c r="M421" s="3"/>
      <c r="N421" s="3"/>
      <c r="O421" s="3"/>
      <c r="P421" s="3"/>
      <c r="Q421" s="3"/>
      <c r="R421" s="3"/>
      <c r="S421" s="3"/>
      <c r="T421" s="3"/>
      <c r="U421" s="3"/>
      <c r="V421" s="3"/>
      <c r="W421" s="3"/>
      <c r="X421" s="3"/>
      <c r="Y421" s="3"/>
    </row>
    <row r="422">
      <c r="A422" s="5"/>
      <c r="B422" s="5"/>
      <c r="C422" s="5"/>
      <c r="D422" s="5"/>
      <c r="E422" s="3"/>
      <c r="F422" s="5"/>
      <c r="G422" s="5"/>
      <c r="H422" s="5"/>
      <c r="I422" s="3"/>
      <c r="J422" s="3"/>
      <c r="K422" s="3"/>
      <c r="L422" s="3"/>
      <c r="M422" s="3"/>
      <c r="N422" s="3"/>
      <c r="O422" s="3"/>
      <c r="P422" s="3"/>
      <c r="Q422" s="3"/>
      <c r="R422" s="3"/>
      <c r="S422" s="3"/>
      <c r="T422" s="3"/>
      <c r="U422" s="3"/>
      <c r="V422" s="3"/>
      <c r="W422" s="3"/>
      <c r="X422" s="3"/>
      <c r="Y422" s="3"/>
    </row>
    <row r="423">
      <c r="A423" s="5"/>
      <c r="B423" s="5"/>
      <c r="C423" s="5"/>
      <c r="D423" s="5"/>
      <c r="E423" s="3"/>
      <c r="F423" s="5"/>
      <c r="G423" s="5"/>
      <c r="H423" s="5"/>
      <c r="I423" s="3"/>
      <c r="J423" s="3"/>
      <c r="K423" s="3"/>
      <c r="L423" s="3"/>
      <c r="M423" s="3"/>
      <c r="N423" s="3"/>
      <c r="O423" s="3"/>
      <c r="P423" s="3"/>
      <c r="Q423" s="3"/>
      <c r="R423" s="3"/>
      <c r="S423" s="3"/>
      <c r="T423" s="3"/>
      <c r="U423" s="3"/>
      <c r="V423" s="3"/>
      <c r="W423" s="3"/>
      <c r="X423" s="3"/>
      <c r="Y423" s="3"/>
    </row>
    <row r="424">
      <c r="A424" s="5"/>
      <c r="B424" s="5"/>
      <c r="C424" s="5"/>
      <c r="D424" s="5"/>
      <c r="E424" s="3"/>
      <c r="F424" s="5"/>
      <c r="G424" s="5"/>
      <c r="H424" s="5"/>
      <c r="I424" s="3"/>
      <c r="J424" s="3"/>
      <c r="K424" s="3"/>
      <c r="L424" s="3"/>
      <c r="M424" s="3"/>
      <c r="N424" s="3"/>
      <c r="O424" s="3"/>
      <c r="P424" s="3"/>
      <c r="Q424" s="3"/>
      <c r="R424" s="3"/>
      <c r="S424" s="3"/>
      <c r="T424" s="3"/>
      <c r="U424" s="3"/>
      <c r="V424" s="3"/>
      <c r="W424" s="3"/>
      <c r="X424" s="3"/>
      <c r="Y424" s="3"/>
    </row>
    <row r="425">
      <c r="A425" s="5"/>
      <c r="B425" s="5"/>
      <c r="C425" s="5"/>
      <c r="D425" s="5"/>
      <c r="E425" s="3"/>
      <c r="F425" s="5"/>
      <c r="G425" s="5"/>
      <c r="H425" s="5"/>
      <c r="I425" s="3"/>
      <c r="J425" s="3"/>
      <c r="K425" s="3"/>
      <c r="L425" s="3"/>
      <c r="M425" s="3"/>
      <c r="N425" s="3"/>
      <c r="O425" s="3"/>
      <c r="P425" s="3"/>
      <c r="Q425" s="3"/>
      <c r="R425" s="3"/>
      <c r="S425" s="3"/>
      <c r="T425" s="3"/>
      <c r="U425" s="3"/>
      <c r="V425" s="3"/>
      <c r="W425" s="3"/>
      <c r="X425" s="3"/>
      <c r="Y425" s="3"/>
    </row>
    <row r="426">
      <c r="A426" s="5"/>
      <c r="B426" s="5"/>
      <c r="C426" s="5"/>
      <c r="D426" s="5"/>
      <c r="E426" s="3"/>
      <c r="F426" s="5"/>
      <c r="G426" s="5"/>
      <c r="H426" s="5"/>
      <c r="I426" s="3"/>
      <c r="J426" s="3"/>
      <c r="K426" s="3"/>
      <c r="L426" s="3"/>
      <c r="M426" s="3"/>
      <c r="N426" s="3"/>
      <c r="O426" s="3"/>
      <c r="P426" s="3"/>
      <c r="Q426" s="3"/>
      <c r="R426" s="3"/>
      <c r="S426" s="3"/>
      <c r="T426" s="3"/>
      <c r="U426" s="3"/>
      <c r="V426" s="3"/>
      <c r="W426" s="3"/>
      <c r="X426" s="3"/>
      <c r="Y426" s="3"/>
    </row>
    <row r="427">
      <c r="A427" s="5"/>
      <c r="B427" s="5"/>
      <c r="C427" s="5"/>
      <c r="D427" s="5"/>
      <c r="E427" s="3"/>
      <c r="F427" s="5"/>
      <c r="G427" s="5"/>
      <c r="H427" s="5"/>
      <c r="I427" s="3"/>
      <c r="J427" s="3"/>
      <c r="K427" s="3"/>
      <c r="L427" s="3"/>
      <c r="M427" s="3"/>
      <c r="N427" s="3"/>
      <c r="O427" s="3"/>
      <c r="P427" s="3"/>
      <c r="Q427" s="3"/>
      <c r="R427" s="3"/>
      <c r="S427" s="3"/>
      <c r="T427" s="3"/>
      <c r="U427" s="3"/>
      <c r="V427" s="3"/>
      <c r="W427" s="3"/>
      <c r="X427" s="3"/>
      <c r="Y427" s="3"/>
    </row>
    <row r="428">
      <c r="A428" s="5"/>
      <c r="B428" s="5"/>
      <c r="C428" s="5"/>
      <c r="D428" s="5"/>
      <c r="E428" s="3"/>
      <c r="F428" s="5"/>
      <c r="G428" s="5"/>
      <c r="H428" s="5"/>
      <c r="I428" s="3"/>
      <c r="J428" s="3"/>
      <c r="K428" s="3"/>
      <c r="L428" s="3"/>
      <c r="M428" s="3"/>
      <c r="N428" s="3"/>
      <c r="O428" s="3"/>
      <c r="P428" s="3"/>
      <c r="Q428" s="3"/>
      <c r="R428" s="3"/>
      <c r="S428" s="3"/>
      <c r="T428" s="3"/>
      <c r="U428" s="3"/>
      <c r="V428" s="3"/>
      <c r="W428" s="3"/>
      <c r="X428" s="3"/>
      <c r="Y428" s="3"/>
    </row>
    <row r="429">
      <c r="A429" s="5"/>
      <c r="B429" s="5"/>
      <c r="C429" s="5"/>
      <c r="D429" s="5"/>
      <c r="E429" s="3"/>
      <c r="F429" s="5"/>
      <c r="G429" s="5"/>
      <c r="H429" s="5"/>
      <c r="I429" s="3"/>
      <c r="J429" s="3"/>
      <c r="K429" s="3"/>
      <c r="L429" s="3"/>
      <c r="M429" s="3"/>
      <c r="N429" s="3"/>
      <c r="O429" s="3"/>
      <c r="P429" s="3"/>
      <c r="Q429" s="3"/>
      <c r="R429" s="3"/>
      <c r="S429" s="3"/>
      <c r="T429" s="3"/>
      <c r="U429" s="3"/>
      <c r="V429" s="3"/>
      <c r="W429" s="3"/>
      <c r="X429" s="3"/>
      <c r="Y429" s="3"/>
    </row>
    <row r="430">
      <c r="A430" s="5"/>
      <c r="B430" s="5"/>
      <c r="C430" s="5"/>
      <c r="D430" s="5"/>
      <c r="E430" s="3"/>
      <c r="F430" s="5"/>
      <c r="G430" s="5"/>
      <c r="H430" s="5"/>
      <c r="I430" s="3"/>
      <c r="J430" s="3"/>
      <c r="K430" s="3"/>
      <c r="L430" s="3"/>
      <c r="M430" s="3"/>
      <c r="N430" s="3"/>
      <c r="O430" s="3"/>
      <c r="P430" s="3"/>
      <c r="Q430" s="3"/>
      <c r="R430" s="3"/>
      <c r="S430" s="3"/>
      <c r="T430" s="3"/>
      <c r="U430" s="3"/>
      <c r="V430" s="3"/>
      <c r="W430" s="3"/>
      <c r="X430" s="3"/>
      <c r="Y430" s="3"/>
    </row>
    <row r="431">
      <c r="A431" s="5"/>
      <c r="B431" s="5"/>
      <c r="C431" s="5"/>
      <c r="D431" s="5"/>
      <c r="E431" s="3"/>
      <c r="F431" s="5"/>
      <c r="G431" s="5"/>
      <c r="H431" s="5"/>
      <c r="I431" s="3"/>
      <c r="J431" s="3"/>
      <c r="K431" s="3"/>
      <c r="L431" s="3"/>
      <c r="M431" s="3"/>
      <c r="N431" s="3"/>
      <c r="O431" s="3"/>
      <c r="P431" s="3"/>
      <c r="Q431" s="3"/>
      <c r="R431" s="3"/>
      <c r="S431" s="3"/>
      <c r="T431" s="3"/>
      <c r="U431" s="3"/>
      <c r="V431" s="3"/>
      <c r="W431" s="3"/>
      <c r="X431" s="3"/>
      <c r="Y431" s="3"/>
    </row>
    <row r="432">
      <c r="A432" s="5"/>
      <c r="B432" s="5"/>
      <c r="C432" s="5"/>
      <c r="D432" s="5"/>
      <c r="E432" s="3"/>
      <c r="F432" s="5"/>
      <c r="G432" s="5"/>
      <c r="H432" s="5"/>
      <c r="I432" s="3"/>
      <c r="J432" s="3"/>
      <c r="K432" s="3"/>
      <c r="L432" s="3"/>
      <c r="M432" s="3"/>
      <c r="N432" s="3"/>
      <c r="O432" s="3"/>
      <c r="P432" s="3"/>
      <c r="Q432" s="3"/>
      <c r="R432" s="3"/>
      <c r="S432" s="3"/>
      <c r="T432" s="3"/>
      <c r="U432" s="3"/>
      <c r="V432" s="3"/>
      <c r="W432" s="3"/>
      <c r="X432" s="3"/>
      <c r="Y432" s="3"/>
    </row>
    <row r="433">
      <c r="A433" s="5"/>
      <c r="B433" s="5"/>
      <c r="C433" s="5"/>
      <c r="D433" s="5"/>
      <c r="E433" s="3"/>
      <c r="F433" s="5"/>
      <c r="G433" s="5"/>
      <c r="H433" s="5"/>
      <c r="I433" s="3"/>
      <c r="J433" s="3"/>
      <c r="K433" s="3"/>
      <c r="L433" s="3"/>
      <c r="M433" s="3"/>
      <c r="N433" s="3"/>
      <c r="O433" s="3"/>
      <c r="P433" s="3"/>
      <c r="Q433" s="3"/>
      <c r="R433" s="3"/>
      <c r="S433" s="3"/>
      <c r="T433" s="3"/>
      <c r="U433" s="3"/>
      <c r="V433" s="3"/>
      <c r="W433" s="3"/>
      <c r="X433" s="3"/>
      <c r="Y433" s="3"/>
    </row>
    <row r="434">
      <c r="A434" s="5"/>
      <c r="B434" s="5"/>
      <c r="C434" s="5"/>
      <c r="D434" s="5"/>
      <c r="E434" s="3"/>
      <c r="F434" s="5"/>
      <c r="G434" s="5"/>
      <c r="H434" s="5"/>
      <c r="I434" s="3"/>
      <c r="J434" s="3"/>
      <c r="K434" s="3"/>
      <c r="L434" s="3"/>
      <c r="M434" s="3"/>
      <c r="N434" s="3"/>
      <c r="O434" s="3"/>
      <c r="P434" s="3"/>
      <c r="Q434" s="3"/>
      <c r="R434" s="3"/>
      <c r="S434" s="3"/>
      <c r="T434" s="3"/>
      <c r="U434" s="3"/>
      <c r="V434" s="3"/>
      <c r="W434" s="3"/>
      <c r="X434" s="3"/>
      <c r="Y434" s="3"/>
    </row>
    <row r="435">
      <c r="A435" s="5"/>
      <c r="B435" s="5"/>
      <c r="C435" s="5"/>
      <c r="D435" s="5"/>
      <c r="E435" s="3"/>
      <c r="F435" s="5"/>
      <c r="G435" s="5"/>
      <c r="H435" s="5"/>
      <c r="I435" s="3"/>
      <c r="J435" s="3"/>
      <c r="K435" s="3"/>
      <c r="L435" s="3"/>
      <c r="M435" s="3"/>
      <c r="N435" s="3"/>
      <c r="O435" s="3"/>
      <c r="P435" s="3"/>
      <c r="Q435" s="3"/>
      <c r="R435" s="3"/>
      <c r="S435" s="3"/>
      <c r="T435" s="3"/>
      <c r="U435" s="3"/>
      <c r="V435" s="3"/>
      <c r="W435" s="3"/>
      <c r="X435" s="3"/>
      <c r="Y435" s="3"/>
    </row>
    <row r="436">
      <c r="A436" s="5"/>
      <c r="B436" s="5"/>
      <c r="C436" s="5"/>
      <c r="D436" s="5"/>
      <c r="E436" s="3"/>
      <c r="F436" s="5"/>
      <c r="G436" s="5"/>
      <c r="H436" s="5"/>
      <c r="I436" s="3"/>
      <c r="J436" s="3"/>
      <c r="K436" s="3"/>
      <c r="L436" s="3"/>
      <c r="M436" s="3"/>
      <c r="N436" s="3"/>
      <c r="O436" s="3"/>
      <c r="P436" s="3"/>
      <c r="Q436" s="3"/>
      <c r="R436" s="3"/>
      <c r="S436" s="3"/>
      <c r="T436" s="3"/>
      <c r="U436" s="3"/>
      <c r="V436" s="3"/>
      <c r="W436" s="3"/>
      <c r="X436" s="3"/>
      <c r="Y436" s="3"/>
    </row>
    <row r="437">
      <c r="A437" s="5"/>
      <c r="B437" s="5"/>
      <c r="C437" s="5"/>
      <c r="D437" s="5"/>
      <c r="E437" s="3"/>
      <c r="F437" s="5"/>
      <c r="G437" s="5"/>
      <c r="H437" s="5"/>
      <c r="I437" s="3"/>
      <c r="J437" s="3"/>
      <c r="K437" s="3"/>
      <c r="L437" s="3"/>
      <c r="M437" s="3"/>
      <c r="N437" s="3"/>
      <c r="O437" s="3"/>
      <c r="P437" s="3"/>
      <c r="Q437" s="3"/>
      <c r="R437" s="3"/>
      <c r="S437" s="3"/>
      <c r="T437" s="3"/>
      <c r="U437" s="3"/>
      <c r="V437" s="3"/>
      <c r="W437" s="3"/>
      <c r="X437" s="3"/>
      <c r="Y437" s="3"/>
    </row>
    <row r="438">
      <c r="A438" s="5"/>
      <c r="B438" s="5"/>
      <c r="C438" s="5"/>
      <c r="D438" s="5"/>
      <c r="E438" s="3"/>
      <c r="F438" s="5"/>
      <c r="G438" s="5"/>
      <c r="H438" s="5"/>
      <c r="I438" s="3"/>
      <c r="J438" s="3"/>
      <c r="K438" s="3"/>
      <c r="L438" s="3"/>
      <c r="M438" s="3"/>
      <c r="N438" s="3"/>
      <c r="O438" s="3"/>
      <c r="P438" s="3"/>
      <c r="Q438" s="3"/>
      <c r="R438" s="3"/>
      <c r="S438" s="3"/>
      <c r="T438" s="3"/>
      <c r="U438" s="3"/>
      <c r="V438" s="3"/>
      <c r="W438" s="3"/>
      <c r="X438" s="3"/>
      <c r="Y438" s="3"/>
    </row>
    <row r="439">
      <c r="A439" s="5"/>
      <c r="B439" s="5"/>
      <c r="C439" s="5"/>
      <c r="D439" s="5"/>
      <c r="E439" s="3"/>
      <c r="F439" s="5"/>
      <c r="G439" s="5"/>
      <c r="H439" s="5"/>
      <c r="I439" s="3"/>
      <c r="J439" s="3"/>
      <c r="K439" s="3"/>
      <c r="L439" s="3"/>
      <c r="M439" s="3"/>
      <c r="N439" s="3"/>
      <c r="O439" s="3"/>
      <c r="P439" s="3"/>
      <c r="Q439" s="3"/>
      <c r="R439" s="3"/>
      <c r="S439" s="3"/>
      <c r="T439" s="3"/>
      <c r="U439" s="3"/>
      <c r="V439" s="3"/>
      <c r="W439" s="3"/>
      <c r="X439" s="3"/>
      <c r="Y439" s="3"/>
    </row>
    <row r="440">
      <c r="A440" s="5"/>
      <c r="B440" s="5"/>
      <c r="C440" s="5"/>
      <c r="D440" s="5"/>
      <c r="E440" s="3"/>
      <c r="F440" s="5"/>
      <c r="G440" s="5"/>
      <c r="H440" s="5"/>
      <c r="I440" s="3"/>
      <c r="J440" s="3"/>
      <c r="K440" s="3"/>
      <c r="L440" s="3"/>
      <c r="M440" s="3"/>
      <c r="N440" s="3"/>
      <c r="O440" s="3"/>
      <c r="P440" s="3"/>
      <c r="Q440" s="3"/>
      <c r="R440" s="3"/>
      <c r="S440" s="3"/>
      <c r="T440" s="3"/>
      <c r="U440" s="3"/>
      <c r="V440" s="3"/>
      <c r="W440" s="3"/>
      <c r="X440" s="3"/>
      <c r="Y440" s="3"/>
    </row>
    <row r="441">
      <c r="A441" s="5"/>
      <c r="B441" s="5"/>
      <c r="C441" s="5"/>
      <c r="D441" s="5"/>
      <c r="E441" s="3"/>
      <c r="F441" s="5"/>
      <c r="G441" s="5"/>
      <c r="H441" s="5"/>
      <c r="I441" s="3"/>
      <c r="J441" s="3"/>
      <c r="K441" s="3"/>
      <c r="L441" s="3"/>
      <c r="M441" s="3"/>
      <c r="N441" s="3"/>
      <c r="O441" s="3"/>
      <c r="P441" s="3"/>
      <c r="Q441" s="3"/>
      <c r="R441" s="3"/>
      <c r="S441" s="3"/>
      <c r="T441" s="3"/>
      <c r="U441" s="3"/>
      <c r="V441" s="3"/>
      <c r="W441" s="3"/>
      <c r="X441" s="3"/>
      <c r="Y441" s="3"/>
    </row>
    <row r="442">
      <c r="A442" s="5"/>
      <c r="B442" s="5"/>
      <c r="C442" s="5"/>
      <c r="D442" s="5"/>
      <c r="E442" s="3"/>
      <c r="F442" s="5"/>
      <c r="G442" s="5"/>
      <c r="H442" s="5"/>
      <c r="I442" s="3"/>
      <c r="J442" s="3"/>
      <c r="K442" s="3"/>
      <c r="L442" s="3"/>
      <c r="M442" s="3"/>
      <c r="N442" s="3"/>
      <c r="O442" s="3"/>
      <c r="P442" s="3"/>
      <c r="Q442" s="3"/>
      <c r="R442" s="3"/>
      <c r="S442" s="3"/>
      <c r="T442" s="3"/>
      <c r="U442" s="3"/>
      <c r="V442" s="3"/>
      <c r="W442" s="3"/>
      <c r="X442" s="3"/>
      <c r="Y442" s="3"/>
    </row>
    <row r="443">
      <c r="A443" s="5"/>
      <c r="B443" s="5"/>
      <c r="C443" s="5"/>
      <c r="D443" s="5"/>
      <c r="E443" s="3"/>
      <c r="F443" s="5"/>
      <c r="G443" s="5"/>
      <c r="H443" s="5"/>
      <c r="I443" s="3"/>
      <c r="J443" s="3"/>
      <c r="K443" s="3"/>
      <c r="L443" s="3"/>
      <c r="M443" s="3"/>
      <c r="N443" s="3"/>
      <c r="O443" s="3"/>
      <c r="P443" s="3"/>
      <c r="Q443" s="3"/>
      <c r="R443" s="3"/>
      <c r="S443" s="3"/>
      <c r="T443" s="3"/>
      <c r="U443" s="3"/>
      <c r="V443" s="3"/>
      <c r="W443" s="3"/>
      <c r="X443" s="3"/>
      <c r="Y443" s="3"/>
    </row>
    <row r="444">
      <c r="A444" s="5"/>
      <c r="B444" s="5"/>
      <c r="C444" s="5"/>
      <c r="D444" s="5"/>
      <c r="E444" s="3"/>
      <c r="F444" s="5"/>
      <c r="G444" s="5"/>
      <c r="H444" s="5"/>
      <c r="I444" s="3"/>
      <c r="J444" s="3"/>
      <c r="K444" s="3"/>
      <c r="L444" s="3"/>
      <c r="M444" s="3"/>
      <c r="N444" s="3"/>
      <c r="O444" s="3"/>
      <c r="P444" s="3"/>
      <c r="Q444" s="3"/>
      <c r="R444" s="3"/>
      <c r="S444" s="3"/>
      <c r="T444" s="3"/>
      <c r="U444" s="3"/>
      <c r="V444" s="3"/>
      <c r="W444" s="3"/>
      <c r="X444" s="3"/>
      <c r="Y444" s="3"/>
    </row>
    <row r="445">
      <c r="A445" s="5"/>
      <c r="B445" s="5"/>
      <c r="C445" s="5"/>
      <c r="D445" s="5"/>
      <c r="E445" s="3"/>
      <c r="F445" s="5"/>
      <c r="G445" s="5"/>
      <c r="H445" s="5"/>
      <c r="I445" s="3"/>
      <c r="J445" s="3"/>
      <c r="K445" s="3"/>
      <c r="L445" s="3"/>
      <c r="M445" s="3"/>
      <c r="N445" s="3"/>
      <c r="O445" s="3"/>
      <c r="P445" s="3"/>
      <c r="Q445" s="3"/>
      <c r="R445" s="3"/>
      <c r="S445" s="3"/>
      <c r="T445" s="3"/>
      <c r="U445" s="3"/>
      <c r="V445" s="3"/>
      <c r="W445" s="3"/>
      <c r="X445" s="3"/>
      <c r="Y445" s="3"/>
    </row>
    <row r="446">
      <c r="A446" s="5"/>
      <c r="B446" s="5"/>
      <c r="C446" s="5"/>
      <c r="D446" s="5"/>
      <c r="E446" s="3"/>
      <c r="F446" s="5"/>
      <c r="G446" s="5"/>
      <c r="H446" s="5"/>
      <c r="I446" s="3"/>
      <c r="J446" s="3"/>
      <c r="K446" s="3"/>
      <c r="L446" s="3"/>
      <c r="M446" s="3"/>
      <c r="N446" s="3"/>
      <c r="O446" s="3"/>
      <c r="P446" s="3"/>
      <c r="Q446" s="3"/>
      <c r="R446" s="3"/>
      <c r="S446" s="3"/>
      <c r="T446" s="3"/>
      <c r="U446" s="3"/>
      <c r="V446" s="3"/>
      <c r="W446" s="3"/>
      <c r="X446" s="3"/>
      <c r="Y446" s="3"/>
    </row>
    <row r="447">
      <c r="A447" s="5"/>
      <c r="B447" s="5"/>
      <c r="C447" s="5"/>
      <c r="D447" s="5"/>
      <c r="E447" s="3"/>
      <c r="F447" s="5"/>
      <c r="G447" s="5"/>
      <c r="H447" s="5"/>
      <c r="I447" s="3"/>
      <c r="J447" s="3"/>
      <c r="K447" s="3"/>
      <c r="L447" s="3"/>
      <c r="M447" s="3"/>
      <c r="N447" s="3"/>
      <c r="O447" s="3"/>
      <c r="P447" s="3"/>
      <c r="Q447" s="3"/>
      <c r="R447" s="3"/>
      <c r="S447" s="3"/>
      <c r="T447" s="3"/>
      <c r="U447" s="3"/>
      <c r="V447" s="3"/>
      <c r="W447" s="3"/>
      <c r="X447" s="3"/>
      <c r="Y447" s="3"/>
    </row>
    <row r="448">
      <c r="A448" s="5"/>
      <c r="B448" s="5"/>
      <c r="C448" s="5"/>
      <c r="D448" s="5"/>
      <c r="E448" s="3"/>
      <c r="F448" s="5"/>
      <c r="G448" s="5"/>
      <c r="H448" s="5"/>
      <c r="I448" s="3"/>
      <c r="J448" s="3"/>
      <c r="K448" s="3"/>
      <c r="L448" s="3"/>
      <c r="M448" s="3"/>
      <c r="N448" s="3"/>
      <c r="O448" s="3"/>
      <c r="P448" s="3"/>
      <c r="Q448" s="3"/>
      <c r="R448" s="3"/>
      <c r="S448" s="3"/>
      <c r="T448" s="3"/>
      <c r="U448" s="3"/>
      <c r="V448" s="3"/>
      <c r="W448" s="3"/>
      <c r="X448" s="3"/>
      <c r="Y448" s="3"/>
    </row>
    <row r="449">
      <c r="A449" s="5"/>
      <c r="B449" s="5"/>
      <c r="C449" s="5"/>
      <c r="D449" s="5"/>
      <c r="E449" s="3"/>
      <c r="F449" s="5"/>
      <c r="G449" s="5"/>
      <c r="H449" s="5"/>
      <c r="I449" s="3"/>
      <c r="J449" s="3"/>
      <c r="K449" s="3"/>
      <c r="L449" s="3"/>
      <c r="M449" s="3"/>
      <c r="N449" s="3"/>
      <c r="O449" s="3"/>
      <c r="P449" s="3"/>
      <c r="Q449" s="3"/>
      <c r="R449" s="3"/>
      <c r="S449" s="3"/>
      <c r="T449" s="3"/>
      <c r="U449" s="3"/>
      <c r="V449" s="3"/>
      <c r="W449" s="3"/>
      <c r="X449" s="3"/>
      <c r="Y449" s="3"/>
    </row>
    <row r="450">
      <c r="A450" s="5"/>
      <c r="B450" s="5"/>
      <c r="C450" s="5"/>
      <c r="D450" s="5"/>
      <c r="E450" s="3"/>
      <c r="F450" s="5"/>
      <c r="G450" s="5"/>
      <c r="H450" s="5"/>
      <c r="I450" s="3"/>
      <c r="J450" s="3"/>
      <c r="K450" s="3"/>
      <c r="L450" s="3"/>
      <c r="M450" s="3"/>
      <c r="N450" s="3"/>
      <c r="O450" s="3"/>
      <c r="P450" s="3"/>
      <c r="Q450" s="3"/>
      <c r="R450" s="3"/>
      <c r="S450" s="3"/>
      <c r="T450" s="3"/>
      <c r="U450" s="3"/>
      <c r="V450" s="3"/>
      <c r="W450" s="3"/>
      <c r="X450" s="3"/>
      <c r="Y450" s="3"/>
    </row>
    <row r="451">
      <c r="A451" s="5"/>
      <c r="B451" s="5"/>
      <c r="C451" s="5"/>
      <c r="D451" s="5"/>
      <c r="E451" s="3"/>
      <c r="F451" s="5"/>
      <c r="G451" s="5"/>
      <c r="H451" s="5"/>
      <c r="I451" s="3"/>
      <c r="J451" s="3"/>
      <c r="K451" s="3"/>
      <c r="L451" s="3"/>
      <c r="M451" s="3"/>
      <c r="N451" s="3"/>
      <c r="O451" s="3"/>
      <c r="P451" s="3"/>
      <c r="Q451" s="3"/>
      <c r="R451" s="3"/>
      <c r="S451" s="3"/>
      <c r="T451" s="3"/>
      <c r="U451" s="3"/>
      <c r="V451" s="3"/>
      <c r="W451" s="3"/>
      <c r="X451" s="3"/>
      <c r="Y451" s="3"/>
    </row>
    <row r="452">
      <c r="A452" s="5"/>
      <c r="B452" s="5"/>
      <c r="C452" s="5"/>
      <c r="D452" s="5"/>
      <c r="E452" s="3"/>
      <c r="F452" s="5"/>
      <c r="G452" s="5"/>
      <c r="H452" s="5"/>
      <c r="I452" s="3"/>
      <c r="J452" s="3"/>
      <c r="K452" s="3"/>
      <c r="L452" s="3"/>
      <c r="M452" s="3"/>
      <c r="N452" s="3"/>
      <c r="O452" s="3"/>
      <c r="P452" s="3"/>
      <c r="Q452" s="3"/>
      <c r="R452" s="3"/>
      <c r="S452" s="3"/>
      <c r="T452" s="3"/>
      <c r="U452" s="3"/>
      <c r="V452" s="3"/>
      <c r="W452" s="3"/>
      <c r="X452" s="3"/>
      <c r="Y452" s="3"/>
    </row>
    <row r="453">
      <c r="A453" s="5"/>
      <c r="B453" s="5"/>
      <c r="C453" s="5"/>
      <c r="D453" s="5"/>
      <c r="E453" s="3"/>
      <c r="F453" s="5"/>
      <c r="G453" s="5"/>
      <c r="H453" s="5"/>
      <c r="I453" s="3"/>
      <c r="J453" s="3"/>
      <c r="K453" s="3"/>
      <c r="L453" s="3"/>
      <c r="M453" s="3"/>
      <c r="N453" s="3"/>
      <c r="O453" s="3"/>
      <c r="P453" s="3"/>
      <c r="Q453" s="3"/>
      <c r="R453" s="3"/>
      <c r="S453" s="3"/>
      <c r="T453" s="3"/>
      <c r="U453" s="3"/>
      <c r="V453" s="3"/>
      <c r="W453" s="3"/>
      <c r="X453" s="3"/>
      <c r="Y453" s="3"/>
    </row>
    <row r="454">
      <c r="A454" s="5"/>
      <c r="B454" s="5"/>
      <c r="C454" s="5"/>
      <c r="D454" s="5"/>
      <c r="E454" s="3"/>
      <c r="F454" s="5"/>
      <c r="G454" s="5"/>
      <c r="H454" s="5"/>
      <c r="I454" s="3"/>
      <c r="J454" s="3"/>
      <c r="K454" s="3"/>
      <c r="L454" s="3"/>
      <c r="M454" s="3"/>
      <c r="N454" s="3"/>
      <c r="O454" s="3"/>
      <c r="P454" s="3"/>
      <c r="Q454" s="3"/>
      <c r="R454" s="3"/>
      <c r="S454" s="3"/>
      <c r="T454" s="3"/>
      <c r="U454" s="3"/>
      <c r="V454" s="3"/>
      <c r="W454" s="3"/>
      <c r="X454" s="3"/>
      <c r="Y454" s="3"/>
    </row>
    <row r="455">
      <c r="A455" s="5"/>
      <c r="B455" s="5"/>
      <c r="C455" s="5"/>
      <c r="D455" s="5"/>
      <c r="E455" s="3"/>
      <c r="F455" s="5"/>
      <c r="G455" s="5"/>
      <c r="H455" s="5"/>
      <c r="I455" s="3"/>
      <c r="J455" s="3"/>
      <c r="K455" s="3"/>
      <c r="L455" s="3"/>
      <c r="M455" s="3"/>
      <c r="N455" s="3"/>
      <c r="O455" s="3"/>
      <c r="P455" s="3"/>
      <c r="Q455" s="3"/>
      <c r="R455" s="3"/>
      <c r="S455" s="3"/>
      <c r="T455" s="3"/>
      <c r="U455" s="3"/>
      <c r="V455" s="3"/>
      <c r="W455" s="3"/>
      <c r="X455" s="3"/>
      <c r="Y455" s="3"/>
    </row>
    <row r="456">
      <c r="A456" s="5"/>
      <c r="B456" s="5"/>
      <c r="C456" s="5"/>
      <c r="D456" s="5"/>
      <c r="E456" s="3"/>
      <c r="F456" s="5"/>
      <c r="G456" s="5"/>
      <c r="H456" s="5"/>
      <c r="I456" s="3"/>
      <c r="J456" s="3"/>
      <c r="K456" s="3"/>
      <c r="L456" s="3"/>
      <c r="M456" s="3"/>
      <c r="N456" s="3"/>
      <c r="O456" s="3"/>
      <c r="P456" s="3"/>
      <c r="Q456" s="3"/>
      <c r="R456" s="3"/>
      <c r="S456" s="3"/>
      <c r="T456" s="3"/>
      <c r="U456" s="3"/>
      <c r="V456" s="3"/>
      <c r="W456" s="3"/>
      <c r="X456" s="3"/>
      <c r="Y456" s="3"/>
    </row>
    <row r="457">
      <c r="A457" s="5"/>
      <c r="B457" s="5"/>
      <c r="C457" s="5"/>
      <c r="D457" s="5"/>
      <c r="E457" s="3"/>
      <c r="F457" s="5"/>
      <c r="G457" s="5"/>
      <c r="H457" s="5"/>
      <c r="I457" s="3"/>
      <c r="J457" s="3"/>
      <c r="K457" s="3"/>
      <c r="L457" s="3"/>
      <c r="M457" s="3"/>
      <c r="N457" s="3"/>
      <c r="O457" s="3"/>
      <c r="P457" s="3"/>
      <c r="Q457" s="3"/>
      <c r="R457" s="3"/>
      <c r="S457" s="3"/>
      <c r="T457" s="3"/>
      <c r="U457" s="3"/>
      <c r="V457" s="3"/>
      <c r="W457" s="3"/>
      <c r="X457" s="3"/>
      <c r="Y457" s="3"/>
    </row>
    <row r="458">
      <c r="A458" s="5"/>
      <c r="B458" s="5"/>
      <c r="C458" s="5"/>
      <c r="D458" s="5"/>
      <c r="E458" s="3"/>
      <c r="F458" s="5"/>
      <c r="G458" s="5"/>
      <c r="H458" s="5"/>
      <c r="I458" s="3"/>
      <c r="J458" s="3"/>
      <c r="K458" s="3"/>
      <c r="L458" s="3"/>
      <c r="M458" s="3"/>
      <c r="N458" s="3"/>
      <c r="O458" s="3"/>
      <c r="P458" s="3"/>
      <c r="Q458" s="3"/>
      <c r="R458" s="3"/>
      <c r="S458" s="3"/>
      <c r="T458" s="3"/>
      <c r="U458" s="3"/>
      <c r="V458" s="3"/>
      <c r="W458" s="3"/>
      <c r="X458" s="3"/>
      <c r="Y458" s="3"/>
    </row>
    <row r="459">
      <c r="A459" s="5"/>
      <c r="B459" s="5"/>
      <c r="C459" s="5"/>
      <c r="D459" s="5"/>
      <c r="E459" s="3"/>
      <c r="F459" s="5"/>
      <c r="G459" s="5"/>
      <c r="H459" s="5"/>
      <c r="I459" s="3"/>
      <c r="J459" s="3"/>
      <c r="K459" s="3"/>
      <c r="L459" s="3"/>
      <c r="M459" s="3"/>
      <c r="N459" s="3"/>
      <c r="O459" s="3"/>
      <c r="P459" s="3"/>
      <c r="Q459" s="3"/>
      <c r="R459" s="3"/>
      <c r="S459" s="3"/>
      <c r="T459" s="3"/>
      <c r="U459" s="3"/>
      <c r="V459" s="3"/>
      <c r="W459" s="3"/>
      <c r="X459" s="3"/>
      <c r="Y459" s="3"/>
    </row>
    <row r="460">
      <c r="A460" s="5"/>
      <c r="B460" s="5"/>
      <c r="C460" s="5"/>
      <c r="D460" s="5"/>
      <c r="E460" s="3"/>
      <c r="F460" s="5"/>
      <c r="G460" s="5"/>
      <c r="H460" s="5"/>
      <c r="I460" s="3"/>
      <c r="J460" s="3"/>
      <c r="K460" s="3"/>
      <c r="L460" s="3"/>
      <c r="M460" s="3"/>
      <c r="N460" s="3"/>
      <c r="O460" s="3"/>
      <c r="P460" s="3"/>
      <c r="Q460" s="3"/>
      <c r="R460" s="3"/>
      <c r="S460" s="3"/>
      <c r="T460" s="3"/>
      <c r="U460" s="3"/>
      <c r="V460" s="3"/>
      <c r="W460" s="3"/>
      <c r="X460" s="3"/>
      <c r="Y460" s="3"/>
    </row>
    <row r="461">
      <c r="A461" s="5"/>
      <c r="B461" s="5"/>
      <c r="C461" s="5"/>
      <c r="D461" s="5"/>
      <c r="E461" s="3"/>
      <c r="F461" s="5"/>
      <c r="G461" s="5"/>
      <c r="H461" s="5"/>
      <c r="I461" s="3"/>
      <c r="J461" s="3"/>
      <c r="K461" s="3"/>
      <c r="L461" s="3"/>
      <c r="M461" s="3"/>
      <c r="N461" s="3"/>
      <c r="O461" s="3"/>
      <c r="P461" s="3"/>
      <c r="Q461" s="3"/>
      <c r="R461" s="3"/>
      <c r="S461" s="3"/>
      <c r="T461" s="3"/>
      <c r="U461" s="3"/>
      <c r="V461" s="3"/>
      <c r="W461" s="3"/>
      <c r="X461" s="3"/>
      <c r="Y461" s="3"/>
    </row>
    <row r="462">
      <c r="A462" s="5"/>
      <c r="B462" s="5"/>
      <c r="C462" s="5"/>
      <c r="D462" s="5"/>
      <c r="E462" s="3"/>
      <c r="F462" s="5"/>
      <c r="G462" s="5"/>
      <c r="H462" s="5"/>
      <c r="I462" s="3"/>
      <c r="J462" s="3"/>
      <c r="K462" s="3"/>
      <c r="L462" s="3"/>
      <c r="M462" s="3"/>
      <c r="N462" s="3"/>
      <c r="O462" s="3"/>
      <c r="P462" s="3"/>
      <c r="Q462" s="3"/>
      <c r="R462" s="3"/>
      <c r="S462" s="3"/>
      <c r="T462" s="3"/>
      <c r="U462" s="3"/>
      <c r="V462" s="3"/>
      <c r="W462" s="3"/>
      <c r="X462" s="3"/>
      <c r="Y462" s="3"/>
    </row>
    <row r="463">
      <c r="A463" s="5"/>
      <c r="B463" s="5"/>
      <c r="C463" s="5"/>
      <c r="D463" s="5"/>
      <c r="E463" s="3"/>
      <c r="F463" s="5"/>
      <c r="G463" s="5"/>
      <c r="H463" s="5"/>
      <c r="I463" s="3"/>
      <c r="J463" s="3"/>
      <c r="K463" s="3"/>
      <c r="L463" s="3"/>
      <c r="M463" s="3"/>
      <c r="N463" s="3"/>
      <c r="O463" s="3"/>
      <c r="P463" s="3"/>
      <c r="Q463" s="3"/>
      <c r="R463" s="3"/>
      <c r="S463" s="3"/>
      <c r="T463" s="3"/>
      <c r="U463" s="3"/>
      <c r="V463" s="3"/>
      <c r="W463" s="3"/>
      <c r="X463" s="3"/>
      <c r="Y463" s="3"/>
    </row>
    <row r="464">
      <c r="A464" s="5"/>
      <c r="B464" s="5"/>
      <c r="C464" s="5"/>
      <c r="D464" s="5"/>
      <c r="E464" s="3"/>
      <c r="F464" s="5"/>
      <c r="G464" s="5"/>
      <c r="H464" s="5"/>
      <c r="I464" s="3"/>
      <c r="J464" s="3"/>
      <c r="K464" s="3"/>
      <c r="L464" s="3"/>
      <c r="M464" s="3"/>
      <c r="N464" s="3"/>
      <c r="O464" s="3"/>
      <c r="P464" s="3"/>
      <c r="Q464" s="3"/>
      <c r="R464" s="3"/>
      <c r="S464" s="3"/>
      <c r="T464" s="3"/>
      <c r="U464" s="3"/>
      <c r="V464" s="3"/>
      <c r="W464" s="3"/>
      <c r="X464" s="3"/>
      <c r="Y464" s="3"/>
    </row>
    <row r="465">
      <c r="A465" s="5"/>
      <c r="B465" s="5"/>
      <c r="C465" s="5"/>
      <c r="D465" s="5"/>
      <c r="E465" s="3"/>
      <c r="F465" s="5"/>
      <c r="G465" s="5"/>
      <c r="H465" s="5"/>
      <c r="I465" s="3"/>
      <c r="J465" s="3"/>
      <c r="K465" s="3"/>
      <c r="L465" s="3"/>
      <c r="M465" s="3"/>
      <c r="N465" s="3"/>
      <c r="O465" s="3"/>
      <c r="P465" s="3"/>
      <c r="Q465" s="3"/>
      <c r="R465" s="3"/>
      <c r="S465" s="3"/>
      <c r="T465" s="3"/>
      <c r="U465" s="3"/>
      <c r="V465" s="3"/>
      <c r="W465" s="3"/>
      <c r="X465" s="3"/>
      <c r="Y465" s="3"/>
    </row>
    <row r="466">
      <c r="A466" s="5"/>
      <c r="B466" s="5"/>
      <c r="C466" s="5"/>
      <c r="D466" s="5"/>
      <c r="E466" s="3"/>
      <c r="F466" s="5"/>
      <c r="G466" s="5"/>
      <c r="H466" s="5"/>
      <c r="I466" s="3"/>
      <c r="J466" s="3"/>
      <c r="K466" s="3"/>
      <c r="L466" s="3"/>
      <c r="M466" s="3"/>
      <c r="N466" s="3"/>
      <c r="O466" s="3"/>
      <c r="P466" s="3"/>
      <c r="Q466" s="3"/>
      <c r="R466" s="3"/>
      <c r="S466" s="3"/>
      <c r="T466" s="3"/>
      <c r="U466" s="3"/>
      <c r="V466" s="3"/>
      <c r="W466" s="3"/>
      <c r="X466" s="3"/>
      <c r="Y466" s="3"/>
    </row>
    <row r="467">
      <c r="A467" s="5"/>
      <c r="B467" s="5"/>
      <c r="C467" s="5"/>
      <c r="D467" s="5"/>
      <c r="E467" s="3"/>
      <c r="F467" s="5"/>
      <c r="G467" s="5"/>
      <c r="H467" s="5"/>
      <c r="I467" s="3"/>
      <c r="J467" s="3"/>
      <c r="K467" s="3"/>
      <c r="L467" s="3"/>
      <c r="M467" s="3"/>
      <c r="N467" s="3"/>
      <c r="O467" s="3"/>
      <c r="P467" s="3"/>
      <c r="Q467" s="3"/>
      <c r="R467" s="3"/>
      <c r="S467" s="3"/>
      <c r="T467" s="3"/>
      <c r="U467" s="3"/>
      <c r="V467" s="3"/>
      <c r="W467" s="3"/>
      <c r="X467" s="3"/>
      <c r="Y467" s="3"/>
    </row>
    <row r="468">
      <c r="A468" s="5"/>
      <c r="B468" s="5"/>
      <c r="C468" s="5"/>
      <c r="D468" s="5"/>
      <c r="E468" s="3"/>
      <c r="F468" s="5"/>
      <c r="G468" s="5"/>
      <c r="H468" s="5"/>
      <c r="I468" s="3"/>
      <c r="J468" s="3"/>
      <c r="K468" s="3"/>
      <c r="L468" s="3"/>
      <c r="M468" s="3"/>
      <c r="N468" s="3"/>
      <c r="O468" s="3"/>
      <c r="P468" s="3"/>
      <c r="Q468" s="3"/>
      <c r="R468" s="3"/>
      <c r="S468" s="3"/>
      <c r="T468" s="3"/>
      <c r="U468" s="3"/>
      <c r="V468" s="3"/>
      <c r="W468" s="3"/>
      <c r="X468" s="3"/>
      <c r="Y468" s="3"/>
    </row>
    <row r="469">
      <c r="A469" s="5"/>
      <c r="B469" s="5"/>
      <c r="C469" s="5"/>
      <c r="D469" s="5"/>
      <c r="E469" s="3"/>
      <c r="F469" s="5"/>
      <c r="G469" s="5"/>
      <c r="H469" s="5"/>
      <c r="I469" s="3"/>
      <c r="J469" s="3"/>
      <c r="K469" s="3"/>
      <c r="L469" s="3"/>
      <c r="M469" s="3"/>
      <c r="N469" s="3"/>
      <c r="O469" s="3"/>
      <c r="P469" s="3"/>
      <c r="Q469" s="3"/>
      <c r="R469" s="3"/>
      <c r="S469" s="3"/>
      <c r="T469" s="3"/>
      <c r="U469" s="3"/>
      <c r="V469" s="3"/>
      <c r="W469" s="3"/>
      <c r="X469" s="3"/>
      <c r="Y469" s="3"/>
    </row>
    <row r="470">
      <c r="A470" s="5"/>
      <c r="B470" s="5"/>
      <c r="C470" s="5"/>
      <c r="D470" s="5"/>
      <c r="E470" s="3"/>
      <c r="F470" s="5"/>
      <c r="G470" s="5"/>
      <c r="H470" s="5"/>
      <c r="I470" s="3"/>
      <c r="J470" s="3"/>
      <c r="K470" s="3"/>
      <c r="L470" s="3"/>
      <c r="M470" s="3"/>
      <c r="N470" s="3"/>
      <c r="O470" s="3"/>
      <c r="P470" s="3"/>
      <c r="Q470" s="3"/>
      <c r="R470" s="3"/>
      <c r="S470" s="3"/>
      <c r="T470" s="3"/>
      <c r="U470" s="3"/>
      <c r="V470" s="3"/>
      <c r="W470" s="3"/>
      <c r="X470" s="3"/>
      <c r="Y470" s="3"/>
    </row>
    <row r="471">
      <c r="A471" s="5"/>
      <c r="B471" s="5"/>
      <c r="C471" s="5"/>
      <c r="D471" s="5"/>
      <c r="E471" s="3"/>
      <c r="F471" s="5"/>
      <c r="G471" s="5"/>
      <c r="H471" s="5"/>
      <c r="I471" s="3"/>
      <c r="J471" s="3"/>
      <c r="K471" s="3"/>
      <c r="L471" s="3"/>
      <c r="M471" s="3"/>
      <c r="N471" s="3"/>
      <c r="O471" s="3"/>
      <c r="P471" s="3"/>
      <c r="Q471" s="3"/>
      <c r="R471" s="3"/>
      <c r="S471" s="3"/>
      <c r="T471" s="3"/>
      <c r="U471" s="3"/>
      <c r="V471" s="3"/>
      <c r="W471" s="3"/>
      <c r="X471" s="3"/>
      <c r="Y471" s="3"/>
    </row>
    <row r="472">
      <c r="A472" s="5"/>
      <c r="B472" s="5"/>
      <c r="C472" s="5"/>
      <c r="D472" s="5"/>
      <c r="E472" s="3"/>
      <c r="F472" s="5"/>
      <c r="G472" s="5"/>
      <c r="H472" s="5"/>
      <c r="I472" s="3"/>
      <c r="J472" s="3"/>
      <c r="K472" s="3"/>
      <c r="L472" s="3"/>
      <c r="M472" s="3"/>
      <c r="N472" s="3"/>
      <c r="O472" s="3"/>
      <c r="P472" s="3"/>
      <c r="Q472" s="3"/>
      <c r="R472" s="3"/>
      <c r="S472" s="3"/>
      <c r="T472" s="3"/>
      <c r="U472" s="3"/>
      <c r="V472" s="3"/>
      <c r="W472" s="3"/>
      <c r="X472" s="3"/>
      <c r="Y472" s="3"/>
    </row>
    <row r="473">
      <c r="A473" s="5"/>
      <c r="B473" s="5"/>
      <c r="C473" s="5"/>
      <c r="D473" s="5"/>
      <c r="E473" s="3"/>
      <c r="F473" s="5"/>
      <c r="G473" s="5"/>
      <c r="H473" s="5"/>
      <c r="I473" s="3"/>
      <c r="J473" s="3"/>
      <c r="K473" s="3"/>
      <c r="L473" s="3"/>
      <c r="M473" s="3"/>
      <c r="N473" s="3"/>
      <c r="O473" s="3"/>
      <c r="P473" s="3"/>
      <c r="Q473" s="3"/>
      <c r="R473" s="3"/>
      <c r="S473" s="3"/>
      <c r="T473" s="3"/>
      <c r="U473" s="3"/>
      <c r="V473" s="3"/>
      <c r="W473" s="3"/>
      <c r="X473" s="3"/>
      <c r="Y473" s="3"/>
    </row>
    <row r="474">
      <c r="A474" s="5"/>
      <c r="B474" s="5"/>
      <c r="C474" s="5"/>
      <c r="D474" s="5"/>
      <c r="E474" s="3"/>
      <c r="F474" s="5"/>
      <c r="G474" s="5"/>
      <c r="H474" s="5"/>
      <c r="I474" s="3"/>
      <c r="J474" s="3"/>
      <c r="K474" s="3"/>
      <c r="L474" s="3"/>
      <c r="M474" s="3"/>
      <c r="N474" s="3"/>
      <c r="O474" s="3"/>
      <c r="P474" s="3"/>
      <c r="Q474" s="3"/>
      <c r="R474" s="3"/>
      <c r="S474" s="3"/>
      <c r="T474" s="3"/>
      <c r="U474" s="3"/>
      <c r="V474" s="3"/>
      <c r="W474" s="3"/>
      <c r="X474" s="3"/>
      <c r="Y474" s="3"/>
    </row>
    <row r="475">
      <c r="A475" s="5"/>
      <c r="B475" s="5"/>
      <c r="C475" s="5"/>
      <c r="D475" s="5"/>
      <c r="E475" s="3"/>
      <c r="F475" s="5"/>
      <c r="G475" s="5"/>
      <c r="H475" s="5"/>
      <c r="I475" s="3"/>
      <c r="J475" s="3"/>
      <c r="K475" s="3"/>
      <c r="L475" s="3"/>
      <c r="M475" s="3"/>
      <c r="N475" s="3"/>
      <c r="O475" s="3"/>
      <c r="P475" s="3"/>
      <c r="Q475" s="3"/>
      <c r="R475" s="3"/>
      <c r="S475" s="3"/>
      <c r="T475" s="3"/>
      <c r="U475" s="3"/>
      <c r="V475" s="3"/>
      <c r="W475" s="3"/>
      <c r="X475" s="3"/>
      <c r="Y475" s="3"/>
    </row>
    <row r="476">
      <c r="A476" s="5"/>
      <c r="B476" s="5"/>
      <c r="C476" s="5"/>
      <c r="D476" s="5"/>
      <c r="E476" s="3"/>
      <c r="F476" s="5"/>
      <c r="G476" s="5"/>
      <c r="H476" s="5"/>
      <c r="I476" s="3"/>
      <c r="J476" s="3"/>
      <c r="K476" s="3"/>
      <c r="L476" s="3"/>
      <c r="M476" s="3"/>
      <c r="N476" s="3"/>
      <c r="O476" s="3"/>
      <c r="P476" s="3"/>
      <c r="Q476" s="3"/>
      <c r="R476" s="3"/>
      <c r="S476" s="3"/>
      <c r="T476" s="3"/>
      <c r="U476" s="3"/>
      <c r="V476" s="3"/>
      <c r="W476" s="3"/>
      <c r="X476" s="3"/>
      <c r="Y476" s="3"/>
    </row>
    <row r="477">
      <c r="A477" s="5"/>
      <c r="B477" s="5"/>
      <c r="C477" s="5"/>
      <c r="D477" s="5"/>
      <c r="E477" s="3"/>
      <c r="F477" s="5"/>
      <c r="G477" s="5"/>
      <c r="H477" s="5"/>
      <c r="I477" s="3"/>
      <c r="J477" s="3"/>
      <c r="K477" s="3"/>
      <c r="L477" s="3"/>
      <c r="M477" s="3"/>
      <c r="N477" s="3"/>
      <c r="O477" s="3"/>
      <c r="P477" s="3"/>
      <c r="Q477" s="3"/>
      <c r="R477" s="3"/>
      <c r="S477" s="3"/>
      <c r="T477" s="3"/>
      <c r="U477" s="3"/>
      <c r="V477" s="3"/>
      <c r="W477" s="3"/>
      <c r="X477" s="3"/>
      <c r="Y477" s="3"/>
    </row>
    <row r="478">
      <c r="A478" s="5"/>
      <c r="B478" s="5"/>
      <c r="C478" s="5"/>
      <c r="D478" s="5"/>
      <c r="E478" s="3"/>
      <c r="F478" s="5"/>
      <c r="G478" s="5"/>
      <c r="H478" s="5"/>
      <c r="I478" s="3"/>
      <c r="J478" s="3"/>
      <c r="K478" s="3"/>
      <c r="L478" s="3"/>
      <c r="M478" s="3"/>
      <c r="N478" s="3"/>
      <c r="O478" s="3"/>
      <c r="P478" s="3"/>
      <c r="Q478" s="3"/>
      <c r="R478" s="3"/>
      <c r="S478" s="3"/>
      <c r="T478" s="3"/>
      <c r="U478" s="3"/>
      <c r="V478" s="3"/>
      <c r="W478" s="3"/>
      <c r="X478" s="3"/>
      <c r="Y478" s="3"/>
    </row>
    <row r="479">
      <c r="A479" s="5"/>
      <c r="B479" s="5"/>
      <c r="C479" s="5"/>
      <c r="D479" s="5"/>
      <c r="E479" s="3"/>
      <c r="F479" s="5"/>
      <c r="G479" s="5"/>
      <c r="H479" s="5"/>
      <c r="I479" s="3"/>
      <c r="J479" s="3"/>
      <c r="K479" s="3"/>
      <c r="L479" s="3"/>
      <c r="M479" s="3"/>
      <c r="N479" s="3"/>
      <c r="O479" s="3"/>
      <c r="P479" s="3"/>
      <c r="Q479" s="3"/>
      <c r="R479" s="3"/>
      <c r="S479" s="3"/>
      <c r="T479" s="3"/>
      <c r="U479" s="3"/>
      <c r="V479" s="3"/>
      <c r="W479" s="3"/>
      <c r="X479" s="3"/>
      <c r="Y479" s="3"/>
    </row>
    <row r="480">
      <c r="A480" s="5"/>
      <c r="B480" s="5"/>
      <c r="C480" s="5"/>
      <c r="D480" s="5"/>
      <c r="E480" s="3"/>
      <c r="F480" s="5"/>
      <c r="G480" s="5"/>
      <c r="H480" s="5"/>
      <c r="I480" s="3"/>
      <c r="J480" s="3"/>
      <c r="K480" s="3"/>
      <c r="L480" s="3"/>
      <c r="M480" s="3"/>
      <c r="N480" s="3"/>
      <c r="O480" s="3"/>
      <c r="P480" s="3"/>
      <c r="Q480" s="3"/>
      <c r="R480" s="3"/>
      <c r="S480" s="3"/>
      <c r="T480" s="3"/>
      <c r="U480" s="3"/>
      <c r="V480" s="3"/>
      <c r="W480" s="3"/>
      <c r="X480" s="3"/>
      <c r="Y480" s="3"/>
    </row>
    <row r="481">
      <c r="A481" s="5"/>
      <c r="B481" s="5"/>
      <c r="C481" s="5"/>
      <c r="D481" s="5"/>
      <c r="E481" s="3"/>
      <c r="F481" s="5"/>
      <c r="G481" s="5"/>
      <c r="H481" s="5"/>
      <c r="I481" s="3"/>
      <c r="J481" s="3"/>
      <c r="K481" s="3"/>
      <c r="L481" s="3"/>
      <c r="M481" s="3"/>
      <c r="N481" s="3"/>
      <c r="O481" s="3"/>
      <c r="P481" s="3"/>
      <c r="Q481" s="3"/>
      <c r="R481" s="3"/>
      <c r="S481" s="3"/>
      <c r="T481" s="3"/>
      <c r="U481" s="3"/>
      <c r="V481" s="3"/>
      <c r="W481" s="3"/>
      <c r="X481" s="3"/>
      <c r="Y481" s="3"/>
    </row>
    <row r="482">
      <c r="A482" s="5"/>
      <c r="B482" s="5"/>
      <c r="C482" s="5"/>
      <c r="D482" s="5"/>
      <c r="E482" s="3"/>
      <c r="F482" s="5"/>
      <c r="G482" s="5"/>
      <c r="H482" s="5"/>
      <c r="I482" s="3"/>
      <c r="J482" s="3"/>
      <c r="K482" s="3"/>
      <c r="L482" s="3"/>
      <c r="M482" s="3"/>
      <c r="N482" s="3"/>
      <c r="O482" s="3"/>
      <c r="P482" s="3"/>
      <c r="Q482" s="3"/>
      <c r="R482" s="3"/>
      <c r="S482" s="3"/>
      <c r="T482" s="3"/>
      <c r="U482" s="3"/>
      <c r="V482" s="3"/>
      <c r="W482" s="3"/>
      <c r="X482" s="3"/>
      <c r="Y482" s="3"/>
    </row>
    <row r="483">
      <c r="A483" s="5"/>
      <c r="B483" s="5"/>
      <c r="C483" s="5"/>
      <c r="D483" s="5"/>
      <c r="E483" s="3"/>
      <c r="F483" s="5"/>
      <c r="G483" s="5"/>
      <c r="H483" s="5"/>
      <c r="I483" s="3"/>
      <c r="J483" s="3"/>
      <c r="K483" s="3"/>
      <c r="L483" s="3"/>
      <c r="M483" s="3"/>
      <c r="N483" s="3"/>
      <c r="O483" s="3"/>
      <c r="P483" s="3"/>
      <c r="Q483" s="3"/>
      <c r="R483" s="3"/>
      <c r="S483" s="3"/>
      <c r="T483" s="3"/>
      <c r="U483" s="3"/>
      <c r="V483" s="3"/>
      <c r="W483" s="3"/>
      <c r="X483" s="3"/>
      <c r="Y483" s="3"/>
    </row>
    <row r="484">
      <c r="A484" s="5"/>
      <c r="B484" s="5"/>
      <c r="C484" s="5"/>
      <c r="D484" s="5"/>
      <c r="E484" s="3"/>
      <c r="F484" s="5"/>
      <c r="G484" s="5"/>
      <c r="H484" s="5"/>
      <c r="I484" s="3"/>
      <c r="J484" s="3"/>
      <c r="K484" s="3"/>
      <c r="L484" s="3"/>
      <c r="M484" s="3"/>
      <c r="N484" s="3"/>
      <c r="O484" s="3"/>
      <c r="P484" s="3"/>
      <c r="Q484" s="3"/>
      <c r="R484" s="3"/>
      <c r="S484" s="3"/>
      <c r="T484" s="3"/>
      <c r="U484" s="3"/>
      <c r="V484" s="3"/>
      <c r="W484" s="3"/>
      <c r="X484" s="3"/>
      <c r="Y484" s="3"/>
    </row>
    <row r="485">
      <c r="A485" s="5"/>
      <c r="B485" s="5"/>
      <c r="C485" s="5"/>
      <c r="D485" s="5"/>
      <c r="E485" s="3"/>
      <c r="F485" s="5"/>
      <c r="G485" s="5"/>
      <c r="H485" s="5"/>
      <c r="I485" s="3"/>
      <c r="J485" s="3"/>
      <c r="K485" s="3"/>
      <c r="L485" s="3"/>
      <c r="M485" s="3"/>
      <c r="N485" s="3"/>
      <c r="O485" s="3"/>
      <c r="P485" s="3"/>
      <c r="Q485" s="3"/>
      <c r="R485" s="3"/>
      <c r="S485" s="3"/>
      <c r="T485" s="3"/>
      <c r="U485" s="3"/>
      <c r="V485" s="3"/>
      <c r="W485" s="3"/>
      <c r="X485" s="3"/>
      <c r="Y485" s="3"/>
    </row>
    <row r="486">
      <c r="A486" s="5"/>
      <c r="B486" s="5"/>
      <c r="C486" s="5"/>
      <c r="D486" s="5"/>
      <c r="E486" s="3"/>
      <c r="F486" s="5"/>
      <c r="G486" s="5"/>
      <c r="H486" s="5"/>
      <c r="I486" s="3"/>
      <c r="J486" s="3"/>
      <c r="K486" s="3"/>
      <c r="L486" s="3"/>
      <c r="M486" s="3"/>
      <c r="N486" s="3"/>
      <c r="O486" s="3"/>
      <c r="P486" s="3"/>
      <c r="Q486" s="3"/>
      <c r="R486" s="3"/>
      <c r="S486" s="3"/>
      <c r="T486" s="3"/>
      <c r="U486" s="3"/>
      <c r="V486" s="3"/>
      <c r="W486" s="3"/>
      <c r="X486" s="3"/>
      <c r="Y486" s="3"/>
    </row>
    <row r="487">
      <c r="A487" s="5"/>
      <c r="B487" s="5"/>
      <c r="C487" s="5"/>
      <c r="D487" s="5"/>
      <c r="E487" s="3"/>
      <c r="F487" s="5"/>
      <c r="G487" s="5"/>
      <c r="H487" s="5"/>
      <c r="I487" s="3"/>
      <c r="J487" s="3"/>
      <c r="K487" s="3"/>
      <c r="L487" s="3"/>
      <c r="M487" s="3"/>
      <c r="N487" s="3"/>
      <c r="O487" s="3"/>
      <c r="P487" s="3"/>
      <c r="Q487" s="3"/>
      <c r="R487" s="3"/>
      <c r="S487" s="3"/>
      <c r="T487" s="3"/>
      <c r="U487" s="3"/>
      <c r="V487" s="3"/>
      <c r="W487" s="3"/>
      <c r="X487" s="3"/>
      <c r="Y487" s="3"/>
    </row>
    <row r="488">
      <c r="A488" s="5"/>
      <c r="B488" s="5"/>
      <c r="C488" s="5"/>
      <c r="D488" s="5"/>
      <c r="E488" s="3"/>
      <c r="F488" s="5"/>
      <c r="G488" s="5"/>
      <c r="H488" s="5"/>
      <c r="I488" s="3"/>
      <c r="J488" s="3"/>
      <c r="K488" s="3"/>
      <c r="L488" s="3"/>
      <c r="M488" s="3"/>
      <c r="N488" s="3"/>
      <c r="O488" s="3"/>
      <c r="P488" s="3"/>
      <c r="Q488" s="3"/>
      <c r="R488" s="3"/>
      <c r="S488" s="3"/>
      <c r="T488" s="3"/>
      <c r="U488" s="3"/>
      <c r="V488" s="3"/>
      <c r="W488" s="3"/>
      <c r="X488" s="3"/>
      <c r="Y488" s="3"/>
    </row>
    <row r="489">
      <c r="A489" s="5"/>
      <c r="B489" s="5"/>
      <c r="C489" s="5"/>
      <c r="D489" s="5"/>
      <c r="E489" s="3"/>
      <c r="F489" s="5"/>
      <c r="G489" s="5"/>
      <c r="H489" s="5"/>
      <c r="I489" s="3"/>
      <c r="J489" s="3"/>
      <c r="K489" s="3"/>
      <c r="L489" s="3"/>
      <c r="M489" s="3"/>
      <c r="N489" s="3"/>
      <c r="O489" s="3"/>
      <c r="P489" s="3"/>
      <c r="Q489" s="3"/>
      <c r="R489" s="3"/>
      <c r="S489" s="3"/>
      <c r="T489" s="3"/>
      <c r="U489" s="3"/>
      <c r="V489" s="3"/>
      <c r="W489" s="3"/>
      <c r="X489" s="3"/>
      <c r="Y489" s="3"/>
    </row>
    <row r="490">
      <c r="A490" s="5"/>
      <c r="B490" s="5"/>
      <c r="C490" s="5"/>
      <c r="D490" s="5"/>
      <c r="E490" s="3"/>
      <c r="F490" s="5"/>
      <c r="G490" s="5"/>
      <c r="H490" s="5"/>
      <c r="I490" s="3"/>
      <c r="J490" s="3"/>
      <c r="K490" s="3"/>
      <c r="L490" s="3"/>
      <c r="M490" s="3"/>
      <c r="N490" s="3"/>
      <c r="O490" s="3"/>
      <c r="P490" s="3"/>
      <c r="Q490" s="3"/>
      <c r="R490" s="3"/>
      <c r="S490" s="3"/>
      <c r="T490" s="3"/>
      <c r="U490" s="3"/>
      <c r="V490" s="3"/>
      <c r="W490" s="3"/>
      <c r="X490" s="3"/>
      <c r="Y490" s="3"/>
    </row>
    <row r="491">
      <c r="A491" s="5"/>
      <c r="B491" s="5"/>
      <c r="C491" s="5"/>
      <c r="D491" s="5"/>
      <c r="E491" s="3"/>
      <c r="F491" s="5"/>
      <c r="G491" s="5"/>
      <c r="H491" s="5"/>
      <c r="I491" s="3"/>
      <c r="J491" s="3"/>
      <c r="K491" s="3"/>
      <c r="L491" s="3"/>
      <c r="M491" s="3"/>
      <c r="N491" s="3"/>
      <c r="O491" s="3"/>
      <c r="P491" s="3"/>
      <c r="Q491" s="3"/>
      <c r="R491" s="3"/>
      <c r="S491" s="3"/>
      <c r="T491" s="3"/>
      <c r="U491" s="3"/>
      <c r="V491" s="3"/>
      <c r="W491" s="3"/>
      <c r="X491" s="3"/>
      <c r="Y491" s="3"/>
    </row>
    <row r="492">
      <c r="A492" s="5"/>
      <c r="B492" s="5"/>
      <c r="C492" s="5"/>
      <c r="D492" s="5"/>
      <c r="E492" s="3"/>
      <c r="F492" s="5"/>
      <c r="G492" s="5"/>
      <c r="H492" s="5"/>
      <c r="I492" s="3"/>
      <c r="J492" s="3"/>
      <c r="K492" s="3"/>
      <c r="L492" s="3"/>
      <c r="M492" s="3"/>
      <c r="N492" s="3"/>
      <c r="O492" s="3"/>
      <c r="P492" s="3"/>
      <c r="Q492" s="3"/>
      <c r="R492" s="3"/>
      <c r="S492" s="3"/>
      <c r="T492" s="3"/>
      <c r="U492" s="3"/>
      <c r="V492" s="3"/>
      <c r="W492" s="3"/>
      <c r="X492" s="3"/>
      <c r="Y492" s="3"/>
    </row>
    <row r="493">
      <c r="A493" s="5"/>
      <c r="B493" s="5"/>
      <c r="C493" s="5"/>
      <c r="D493" s="5"/>
      <c r="E493" s="3"/>
      <c r="F493" s="5"/>
      <c r="G493" s="5"/>
      <c r="H493" s="5"/>
      <c r="I493" s="3"/>
      <c r="J493" s="3"/>
      <c r="K493" s="3"/>
      <c r="L493" s="3"/>
      <c r="M493" s="3"/>
      <c r="N493" s="3"/>
      <c r="O493" s="3"/>
      <c r="P493" s="3"/>
      <c r="Q493" s="3"/>
      <c r="R493" s="3"/>
      <c r="S493" s="3"/>
      <c r="T493" s="3"/>
      <c r="U493" s="3"/>
      <c r="V493" s="3"/>
      <c r="W493" s="3"/>
      <c r="X493" s="3"/>
      <c r="Y493" s="3"/>
    </row>
    <row r="494">
      <c r="A494" s="5"/>
      <c r="B494" s="5"/>
      <c r="C494" s="5"/>
      <c r="D494" s="5"/>
      <c r="E494" s="3"/>
      <c r="F494" s="5"/>
      <c r="G494" s="5"/>
      <c r="H494" s="5"/>
      <c r="I494" s="3"/>
      <c r="J494" s="3"/>
      <c r="K494" s="3"/>
      <c r="L494" s="3"/>
      <c r="M494" s="3"/>
      <c r="N494" s="3"/>
      <c r="O494" s="3"/>
      <c r="P494" s="3"/>
      <c r="Q494" s="3"/>
      <c r="R494" s="3"/>
      <c r="S494" s="3"/>
      <c r="T494" s="3"/>
      <c r="U494" s="3"/>
      <c r="V494" s="3"/>
      <c r="W494" s="3"/>
      <c r="X494" s="3"/>
      <c r="Y494" s="3"/>
    </row>
    <row r="495">
      <c r="A495" s="5"/>
      <c r="B495" s="5"/>
      <c r="C495" s="5"/>
      <c r="D495" s="5"/>
      <c r="E495" s="3"/>
      <c r="F495" s="5"/>
      <c r="G495" s="5"/>
      <c r="H495" s="5"/>
      <c r="I495" s="3"/>
      <c r="J495" s="3"/>
      <c r="K495" s="3"/>
      <c r="L495" s="3"/>
      <c r="M495" s="3"/>
      <c r="N495" s="3"/>
      <c r="O495" s="3"/>
      <c r="P495" s="3"/>
      <c r="Q495" s="3"/>
      <c r="R495" s="3"/>
      <c r="S495" s="3"/>
      <c r="T495" s="3"/>
      <c r="U495" s="3"/>
      <c r="V495" s="3"/>
      <c r="W495" s="3"/>
      <c r="X495" s="3"/>
      <c r="Y495" s="3"/>
    </row>
    <row r="496">
      <c r="A496" s="5"/>
      <c r="B496" s="5"/>
      <c r="C496" s="5"/>
      <c r="D496" s="5"/>
      <c r="E496" s="3"/>
      <c r="F496" s="5"/>
      <c r="G496" s="5"/>
      <c r="H496" s="5"/>
      <c r="I496" s="3"/>
      <c r="J496" s="3"/>
      <c r="K496" s="3"/>
      <c r="L496" s="3"/>
      <c r="M496" s="3"/>
      <c r="N496" s="3"/>
      <c r="O496" s="3"/>
      <c r="P496" s="3"/>
      <c r="Q496" s="3"/>
      <c r="R496" s="3"/>
      <c r="S496" s="3"/>
      <c r="T496" s="3"/>
      <c r="U496" s="3"/>
      <c r="V496" s="3"/>
      <c r="W496" s="3"/>
      <c r="X496" s="3"/>
      <c r="Y496" s="3"/>
    </row>
    <row r="497">
      <c r="A497" s="5"/>
      <c r="B497" s="5"/>
      <c r="C497" s="5"/>
      <c r="D497" s="5"/>
      <c r="E497" s="3"/>
      <c r="F497" s="5"/>
      <c r="G497" s="5"/>
      <c r="H497" s="5"/>
      <c r="I497" s="3"/>
      <c r="J497" s="3"/>
      <c r="K497" s="3"/>
      <c r="L497" s="3"/>
      <c r="M497" s="3"/>
      <c r="N497" s="3"/>
      <c r="O497" s="3"/>
      <c r="P497" s="3"/>
      <c r="Q497" s="3"/>
      <c r="R497" s="3"/>
      <c r="S497" s="3"/>
      <c r="T497" s="3"/>
      <c r="U497" s="3"/>
      <c r="V497" s="3"/>
      <c r="W497" s="3"/>
      <c r="X497" s="3"/>
      <c r="Y497" s="3"/>
    </row>
    <row r="498">
      <c r="A498" s="5"/>
      <c r="B498" s="5"/>
      <c r="C498" s="5"/>
      <c r="D498" s="5"/>
      <c r="E498" s="3"/>
      <c r="F498" s="5"/>
      <c r="G498" s="5"/>
      <c r="H498" s="5"/>
      <c r="I498" s="3"/>
      <c r="J498" s="3"/>
      <c r="K498" s="3"/>
      <c r="L498" s="3"/>
      <c r="M498" s="3"/>
      <c r="N498" s="3"/>
      <c r="O498" s="3"/>
      <c r="P498" s="3"/>
      <c r="Q498" s="3"/>
      <c r="R498" s="3"/>
      <c r="S498" s="3"/>
      <c r="T498" s="3"/>
      <c r="U498" s="3"/>
      <c r="V498" s="3"/>
      <c r="W498" s="3"/>
      <c r="X498" s="3"/>
      <c r="Y498" s="3"/>
    </row>
    <row r="499">
      <c r="A499" s="5"/>
      <c r="B499" s="5"/>
      <c r="C499" s="5"/>
      <c r="D499" s="5"/>
      <c r="E499" s="3"/>
      <c r="F499" s="5"/>
      <c r="G499" s="5"/>
      <c r="H499" s="5"/>
      <c r="I499" s="3"/>
      <c r="J499" s="3"/>
      <c r="K499" s="3"/>
      <c r="L499" s="3"/>
      <c r="M499" s="3"/>
      <c r="N499" s="3"/>
      <c r="O499" s="3"/>
      <c r="P499" s="3"/>
      <c r="Q499" s="3"/>
      <c r="R499" s="3"/>
      <c r="S499" s="3"/>
      <c r="T499" s="3"/>
      <c r="U499" s="3"/>
      <c r="V499" s="3"/>
      <c r="W499" s="3"/>
      <c r="X499" s="3"/>
      <c r="Y499" s="3"/>
    </row>
    <row r="500">
      <c r="A500" s="5"/>
      <c r="B500" s="5"/>
      <c r="C500" s="5"/>
      <c r="D500" s="5"/>
      <c r="E500" s="3"/>
      <c r="F500" s="5"/>
      <c r="G500" s="5"/>
      <c r="H500" s="5"/>
      <c r="I500" s="3"/>
      <c r="J500" s="3"/>
      <c r="K500" s="3"/>
      <c r="L500" s="3"/>
      <c r="M500" s="3"/>
      <c r="N500" s="3"/>
      <c r="O500" s="3"/>
      <c r="P500" s="3"/>
      <c r="Q500" s="3"/>
      <c r="R500" s="3"/>
      <c r="S500" s="3"/>
      <c r="T500" s="3"/>
      <c r="U500" s="3"/>
      <c r="V500" s="3"/>
      <c r="W500" s="3"/>
      <c r="X500" s="3"/>
      <c r="Y500" s="3"/>
    </row>
    <row r="501">
      <c r="A501" s="5"/>
      <c r="B501" s="5"/>
      <c r="C501" s="5"/>
      <c r="D501" s="5"/>
      <c r="E501" s="3"/>
      <c r="F501" s="5"/>
      <c r="G501" s="5"/>
      <c r="H501" s="5"/>
      <c r="I501" s="3"/>
      <c r="J501" s="3"/>
      <c r="K501" s="3"/>
      <c r="L501" s="3"/>
      <c r="M501" s="3"/>
      <c r="N501" s="3"/>
      <c r="O501" s="3"/>
      <c r="P501" s="3"/>
      <c r="Q501" s="3"/>
      <c r="R501" s="3"/>
      <c r="S501" s="3"/>
      <c r="T501" s="3"/>
      <c r="U501" s="3"/>
      <c r="V501" s="3"/>
      <c r="W501" s="3"/>
      <c r="X501" s="3"/>
      <c r="Y501" s="3"/>
    </row>
    <row r="502">
      <c r="A502" s="5"/>
      <c r="B502" s="5"/>
      <c r="C502" s="5"/>
      <c r="D502" s="5"/>
      <c r="E502" s="3"/>
      <c r="F502" s="5"/>
      <c r="G502" s="5"/>
      <c r="H502" s="5"/>
      <c r="I502" s="3"/>
      <c r="J502" s="3"/>
      <c r="K502" s="3"/>
      <c r="L502" s="3"/>
      <c r="M502" s="3"/>
      <c r="N502" s="3"/>
      <c r="O502" s="3"/>
      <c r="P502" s="3"/>
      <c r="Q502" s="3"/>
      <c r="R502" s="3"/>
      <c r="S502" s="3"/>
      <c r="T502" s="3"/>
      <c r="U502" s="3"/>
      <c r="V502" s="3"/>
      <c r="W502" s="3"/>
      <c r="X502" s="3"/>
      <c r="Y502" s="3"/>
    </row>
    <row r="503">
      <c r="A503" s="5"/>
      <c r="B503" s="5"/>
      <c r="C503" s="5"/>
      <c r="D503" s="5"/>
      <c r="E503" s="3"/>
      <c r="F503" s="5"/>
      <c r="G503" s="5"/>
      <c r="H503" s="5"/>
      <c r="I503" s="3"/>
      <c r="J503" s="3"/>
      <c r="K503" s="3"/>
      <c r="L503" s="3"/>
      <c r="M503" s="3"/>
      <c r="N503" s="3"/>
      <c r="O503" s="3"/>
      <c r="P503" s="3"/>
      <c r="Q503" s="3"/>
      <c r="R503" s="3"/>
      <c r="S503" s="3"/>
      <c r="T503" s="3"/>
      <c r="U503" s="3"/>
      <c r="V503" s="3"/>
      <c r="W503" s="3"/>
      <c r="X503" s="3"/>
      <c r="Y503" s="3"/>
    </row>
    <row r="504">
      <c r="A504" s="5"/>
      <c r="B504" s="5"/>
      <c r="C504" s="5"/>
      <c r="D504" s="5"/>
      <c r="E504" s="3"/>
      <c r="F504" s="5"/>
      <c r="G504" s="5"/>
      <c r="H504" s="5"/>
      <c r="I504" s="3"/>
      <c r="J504" s="3"/>
      <c r="K504" s="3"/>
      <c r="L504" s="3"/>
      <c r="M504" s="3"/>
      <c r="N504" s="3"/>
      <c r="O504" s="3"/>
      <c r="P504" s="3"/>
      <c r="Q504" s="3"/>
      <c r="R504" s="3"/>
      <c r="S504" s="3"/>
      <c r="T504" s="3"/>
      <c r="U504" s="3"/>
      <c r="V504" s="3"/>
      <c r="W504" s="3"/>
      <c r="X504" s="3"/>
      <c r="Y504" s="3"/>
    </row>
    <row r="505">
      <c r="A505" s="5"/>
      <c r="B505" s="5"/>
      <c r="C505" s="5"/>
      <c r="D505" s="5"/>
      <c r="E505" s="3"/>
      <c r="F505" s="5"/>
      <c r="G505" s="5"/>
      <c r="H505" s="5"/>
      <c r="I505" s="3"/>
      <c r="J505" s="3"/>
      <c r="K505" s="3"/>
      <c r="L505" s="3"/>
      <c r="M505" s="3"/>
      <c r="N505" s="3"/>
      <c r="O505" s="3"/>
      <c r="P505" s="3"/>
      <c r="Q505" s="3"/>
      <c r="R505" s="3"/>
      <c r="S505" s="3"/>
      <c r="T505" s="3"/>
      <c r="U505" s="3"/>
      <c r="V505" s="3"/>
      <c r="W505" s="3"/>
      <c r="X505" s="3"/>
      <c r="Y505" s="3"/>
    </row>
    <row r="506">
      <c r="A506" s="5"/>
      <c r="B506" s="5"/>
      <c r="C506" s="5"/>
      <c r="D506" s="5"/>
      <c r="E506" s="3"/>
      <c r="F506" s="5"/>
      <c r="G506" s="5"/>
      <c r="H506" s="5"/>
      <c r="I506" s="3"/>
      <c r="J506" s="3"/>
      <c r="K506" s="3"/>
      <c r="L506" s="3"/>
      <c r="M506" s="3"/>
      <c r="N506" s="3"/>
      <c r="O506" s="3"/>
      <c r="P506" s="3"/>
      <c r="Q506" s="3"/>
      <c r="R506" s="3"/>
      <c r="S506" s="3"/>
      <c r="T506" s="3"/>
      <c r="U506" s="3"/>
      <c r="V506" s="3"/>
      <c r="W506" s="3"/>
      <c r="X506" s="3"/>
      <c r="Y506" s="3"/>
    </row>
    <row r="507">
      <c r="A507" s="5"/>
      <c r="B507" s="5"/>
      <c r="C507" s="5"/>
      <c r="D507" s="5"/>
      <c r="E507" s="3"/>
      <c r="F507" s="5"/>
      <c r="G507" s="5"/>
      <c r="H507" s="5"/>
      <c r="I507" s="3"/>
      <c r="J507" s="3"/>
      <c r="K507" s="3"/>
      <c r="L507" s="3"/>
      <c r="M507" s="3"/>
      <c r="N507" s="3"/>
      <c r="O507" s="3"/>
      <c r="P507" s="3"/>
      <c r="Q507" s="3"/>
      <c r="R507" s="3"/>
      <c r="S507" s="3"/>
      <c r="T507" s="3"/>
      <c r="U507" s="3"/>
      <c r="V507" s="3"/>
      <c r="W507" s="3"/>
      <c r="X507" s="3"/>
      <c r="Y507" s="3"/>
    </row>
    <row r="508">
      <c r="A508" s="5"/>
      <c r="B508" s="5"/>
      <c r="C508" s="5"/>
      <c r="D508" s="5"/>
      <c r="E508" s="3"/>
      <c r="F508" s="5"/>
      <c r="G508" s="5"/>
      <c r="H508" s="5"/>
      <c r="I508" s="3"/>
      <c r="J508" s="3"/>
      <c r="K508" s="3"/>
      <c r="L508" s="3"/>
      <c r="M508" s="3"/>
      <c r="N508" s="3"/>
      <c r="O508" s="3"/>
      <c r="P508" s="3"/>
      <c r="Q508" s="3"/>
      <c r="R508" s="3"/>
      <c r="S508" s="3"/>
      <c r="T508" s="3"/>
      <c r="U508" s="3"/>
      <c r="V508" s="3"/>
      <c r="W508" s="3"/>
      <c r="X508" s="3"/>
      <c r="Y508" s="3"/>
    </row>
    <row r="509">
      <c r="A509" s="5"/>
      <c r="B509" s="5"/>
      <c r="C509" s="5"/>
      <c r="D509" s="5"/>
      <c r="E509" s="3"/>
      <c r="F509" s="5"/>
      <c r="G509" s="5"/>
      <c r="H509" s="5"/>
      <c r="I509" s="3"/>
      <c r="J509" s="3"/>
      <c r="K509" s="3"/>
      <c r="L509" s="3"/>
      <c r="M509" s="3"/>
      <c r="N509" s="3"/>
      <c r="O509" s="3"/>
      <c r="P509" s="3"/>
      <c r="Q509" s="3"/>
      <c r="R509" s="3"/>
      <c r="S509" s="3"/>
      <c r="T509" s="3"/>
      <c r="U509" s="3"/>
      <c r="V509" s="3"/>
      <c r="W509" s="3"/>
      <c r="X509" s="3"/>
      <c r="Y509" s="3"/>
    </row>
    <row r="510">
      <c r="A510" s="5"/>
      <c r="B510" s="5"/>
      <c r="C510" s="5"/>
      <c r="D510" s="5"/>
      <c r="E510" s="3"/>
      <c r="F510" s="5"/>
      <c r="G510" s="5"/>
      <c r="H510" s="5"/>
      <c r="I510" s="3"/>
      <c r="J510" s="3"/>
      <c r="K510" s="3"/>
      <c r="L510" s="3"/>
      <c r="M510" s="3"/>
      <c r="N510" s="3"/>
      <c r="O510" s="3"/>
      <c r="P510" s="3"/>
      <c r="Q510" s="3"/>
      <c r="R510" s="3"/>
      <c r="S510" s="3"/>
      <c r="T510" s="3"/>
      <c r="U510" s="3"/>
      <c r="V510" s="3"/>
      <c r="W510" s="3"/>
      <c r="X510" s="3"/>
      <c r="Y510" s="3"/>
    </row>
    <row r="511">
      <c r="A511" s="5"/>
      <c r="B511" s="5"/>
      <c r="C511" s="5"/>
      <c r="D511" s="5"/>
      <c r="E511" s="3"/>
      <c r="F511" s="5"/>
      <c r="G511" s="5"/>
      <c r="H511" s="5"/>
      <c r="I511" s="3"/>
      <c r="J511" s="3"/>
      <c r="K511" s="3"/>
      <c r="L511" s="3"/>
      <c r="M511" s="3"/>
      <c r="N511" s="3"/>
      <c r="O511" s="3"/>
      <c r="P511" s="3"/>
      <c r="Q511" s="3"/>
      <c r="R511" s="3"/>
      <c r="S511" s="3"/>
      <c r="T511" s="3"/>
      <c r="U511" s="3"/>
      <c r="V511" s="3"/>
      <c r="W511" s="3"/>
      <c r="X511" s="3"/>
      <c r="Y511" s="3"/>
    </row>
    <row r="512">
      <c r="A512" s="5"/>
      <c r="B512" s="5"/>
      <c r="C512" s="5"/>
      <c r="D512" s="5"/>
      <c r="E512" s="3"/>
      <c r="F512" s="5"/>
      <c r="G512" s="5"/>
      <c r="H512" s="5"/>
      <c r="I512" s="3"/>
      <c r="J512" s="3"/>
      <c r="K512" s="3"/>
      <c r="L512" s="3"/>
      <c r="M512" s="3"/>
      <c r="N512" s="3"/>
      <c r="O512" s="3"/>
      <c r="P512" s="3"/>
      <c r="Q512" s="3"/>
      <c r="R512" s="3"/>
      <c r="S512" s="3"/>
      <c r="T512" s="3"/>
      <c r="U512" s="3"/>
      <c r="V512" s="3"/>
      <c r="W512" s="3"/>
      <c r="X512" s="3"/>
      <c r="Y512" s="3"/>
    </row>
    <row r="513">
      <c r="A513" s="5"/>
      <c r="B513" s="5"/>
      <c r="C513" s="5"/>
      <c r="D513" s="5"/>
      <c r="E513" s="3"/>
      <c r="F513" s="5"/>
      <c r="G513" s="5"/>
      <c r="H513" s="5"/>
      <c r="I513" s="3"/>
      <c r="J513" s="3"/>
      <c r="K513" s="3"/>
      <c r="L513" s="3"/>
      <c r="M513" s="3"/>
      <c r="N513" s="3"/>
      <c r="O513" s="3"/>
      <c r="P513" s="3"/>
      <c r="Q513" s="3"/>
      <c r="R513" s="3"/>
      <c r="S513" s="3"/>
      <c r="T513" s="3"/>
      <c r="U513" s="3"/>
      <c r="V513" s="3"/>
      <c r="W513" s="3"/>
      <c r="X513" s="3"/>
      <c r="Y513" s="3"/>
    </row>
    <row r="514">
      <c r="A514" s="5"/>
      <c r="B514" s="5"/>
      <c r="C514" s="5"/>
      <c r="D514" s="5"/>
      <c r="E514" s="3"/>
      <c r="F514" s="5"/>
      <c r="G514" s="5"/>
      <c r="H514" s="5"/>
      <c r="I514" s="3"/>
      <c r="J514" s="3"/>
      <c r="K514" s="3"/>
      <c r="L514" s="3"/>
      <c r="M514" s="3"/>
      <c r="N514" s="3"/>
      <c r="O514" s="3"/>
      <c r="P514" s="3"/>
      <c r="Q514" s="3"/>
      <c r="R514" s="3"/>
      <c r="S514" s="3"/>
      <c r="T514" s="3"/>
      <c r="U514" s="3"/>
      <c r="V514" s="3"/>
      <c r="W514" s="3"/>
      <c r="X514" s="3"/>
      <c r="Y514" s="3"/>
    </row>
    <row r="515">
      <c r="A515" s="5"/>
      <c r="B515" s="5"/>
      <c r="C515" s="5"/>
      <c r="D515" s="5"/>
      <c r="E515" s="3"/>
      <c r="F515" s="5"/>
      <c r="G515" s="5"/>
      <c r="H515" s="5"/>
      <c r="I515" s="3"/>
      <c r="J515" s="3"/>
      <c r="K515" s="3"/>
      <c r="L515" s="3"/>
      <c r="M515" s="3"/>
      <c r="N515" s="3"/>
      <c r="O515" s="3"/>
      <c r="P515" s="3"/>
      <c r="Q515" s="3"/>
      <c r="R515" s="3"/>
      <c r="S515" s="3"/>
      <c r="T515" s="3"/>
      <c r="U515" s="3"/>
      <c r="V515" s="3"/>
      <c r="W515" s="3"/>
      <c r="X515" s="3"/>
      <c r="Y515" s="3"/>
    </row>
    <row r="516">
      <c r="A516" s="5"/>
      <c r="B516" s="5"/>
      <c r="C516" s="5"/>
      <c r="D516" s="5"/>
      <c r="E516" s="3"/>
      <c r="F516" s="5"/>
      <c r="G516" s="5"/>
      <c r="H516" s="5"/>
      <c r="I516" s="3"/>
      <c r="J516" s="3"/>
      <c r="K516" s="3"/>
      <c r="L516" s="3"/>
      <c r="M516" s="3"/>
      <c r="N516" s="3"/>
      <c r="O516" s="3"/>
      <c r="P516" s="3"/>
      <c r="Q516" s="3"/>
      <c r="R516" s="3"/>
      <c r="S516" s="3"/>
      <c r="T516" s="3"/>
      <c r="U516" s="3"/>
      <c r="V516" s="3"/>
      <c r="W516" s="3"/>
      <c r="X516" s="3"/>
      <c r="Y516" s="3"/>
    </row>
    <row r="517">
      <c r="A517" s="5"/>
      <c r="B517" s="5"/>
      <c r="C517" s="5"/>
      <c r="D517" s="5"/>
      <c r="E517" s="3"/>
      <c r="F517" s="5"/>
      <c r="G517" s="5"/>
      <c r="H517" s="5"/>
      <c r="I517" s="3"/>
      <c r="J517" s="3"/>
      <c r="K517" s="3"/>
      <c r="L517" s="3"/>
      <c r="M517" s="3"/>
      <c r="N517" s="3"/>
      <c r="O517" s="3"/>
      <c r="P517" s="3"/>
      <c r="Q517" s="3"/>
      <c r="R517" s="3"/>
      <c r="S517" s="3"/>
      <c r="T517" s="3"/>
      <c r="U517" s="3"/>
      <c r="V517" s="3"/>
      <c r="W517" s="3"/>
      <c r="X517" s="3"/>
      <c r="Y517" s="3"/>
    </row>
    <row r="518">
      <c r="A518" s="5"/>
      <c r="B518" s="5"/>
      <c r="C518" s="5"/>
      <c r="D518" s="5"/>
      <c r="E518" s="3"/>
      <c r="F518" s="5"/>
      <c r="G518" s="5"/>
      <c r="H518" s="5"/>
      <c r="I518" s="3"/>
      <c r="J518" s="3"/>
      <c r="K518" s="3"/>
      <c r="L518" s="3"/>
      <c r="M518" s="3"/>
      <c r="N518" s="3"/>
      <c r="O518" s="3"/>
      <c r="P518" s="3"/>
      <c r="Q518" s="3"/>
      <c r="R518" s="3"/>
      <c r="S518" s="3"/>
      <c r="T518" s="3"/>
      <c r="U518" s="3"/>
      <c r="V518" s="3"/>
      <c r="W518" s="3"/>
      <c r="X518" s="3"/>
      <c r="Y518" s="3"/>
    </row>
    <row r="519">
      <c r="A519" s="5"/>
      <c r="B519" s="5"/>
      <c r="C519" s="5"/>
      <c r="D519" s="5"/>
      <c r="E519" s="3"/>
      <c r="F519" s="5"/>
      <c r="G519" s="5"/>
      <c r="H519" s="5"/>
      <c r="I519" s="3"/>
      <c r="J519" s="3"/>
      <c r="K519" s="3"/>
      <c r="L519" s="3"/>
      <c r="M519" s="3"/>
      <c r="N519" s="3"/>
      <c r="O519" s="3"/>
      <c r="P519" s="3"/>
      <c r="Q519" s="3"/>
      <c r="R519" s="3"/>
      <c r="S519" s="3"/>
      <c r="T519" s="3"/>
      <c r="U519" s="3"/>
      <c r="V519" s="3"/>
      <c r="W519" s="3"/>
      <c r="X519" s="3"/>
      <c r="Y519" s="3"/>
    </row>
    <row r="520">
      <c r="A520" s="5"/>
      <c r="B520" s="5"/>
      <c r="C520" s="5"/>
      <c r="D520" s="5"/>
      <c r="E520" s="3"/>
      <c r="F520" s="5"/>
      <c r="G520" s="5"/>
      <c r="H520" s="5"/>
      <c r="I520" s="3"/>
      <c r="J520" s="3"/>
      <c r="K520" s="3"/>
      <c r="L520" s="3"/>
      <c r="M520" s="3"/>
      <c r="N520" s="3"/>
      <c r="O520" s="3"/>
      <c r="P520" s="3"/>
      <c r="Q520" s="3"/>
      <c r="R520" s="3"/>
      <c r="S520" s="3"/>
      <c r="T520" s="3"/>
      <c r="U520" s="3"/>
      <c r="V520" s="3"/>
      <c r="W520" s="3"/>
      <c r="X520" s="3"/>
      <c r="Y520" s="3"/>
    </row>
    <row r="521">
      <c r="A521" s="5"/>
      <c r="B521" s="5"/>
      <c r="C521" s="5"/>
      <c r="D521" s="5"/>
      <c r="E521" s="3"/>
      <c r="F521" s="5"/>
      <c r="G521" s="5"/>
      <c r="H521" s="5"/>
      <c r="I521" s="3"/>
      <c r="J521" s="3"/>
      <c r="K521" s="3"/>
      <c r="L521" s="3"/>
      <c r="M521" s="3"/>
      <c r="N521" s="3"/>
      <c r="O521" s="3"/>
      <c r="P521" s="3"/>
      <c r="Q521" s="3"/>
      <c r="R521" s="3"/>
      <c r="S521" s="3"/>
      <c r="T521" s="3"/>
      <c r="U521" s="3"/>
      <c r="V521" s="3"/>
      <c r="W521" s="3"/>
      <c r="X521" s="3"/>
      <c r="Y521" s="3"/>
    </row>
    <row r="522">
      <c r="A522" s="5"/>
      <c r="B522" s="5"/>
      <c r="C522" s="5"/>
      <c r="D522" s="5"/>
      <c r="E522" s="3"/>
      <c r="F522" s="5"/>
      <c r="G522" s="5"/>
      <c r="H522" s="5"/>
      <c r="I522" s="3"/>
      <c r="J522" s="3"/>
      <c r="K522" s="3"/>
      <c r="L522" s="3"/>
      <c r="M522" s="3"/>
      <c r="N522" s="3"/>
      <c r="O522" s="3"/>
      <c r="P522" s="3"/>
      <c r="Q522" s="3"/>
      <c r="R522" s="3"/>
      <c r="S522" s="3"/>
      <c r="T522" s="3"/>
      <c r="U522" s="3"/>
      <c r="V522" s="3"/>
      <c r="W522" s="3"/>
      <c r="X522" s="3"/>
      <c r="Y522" s="3"/>
    </row>
    <row r="523">
      <c r="A523" s="5"/>
      <c r="B523" s="5"/>
      <c r="C523" s="5"/>
      <c r="D523" s="5"/>
      <c r="E523" s="3"/>
      <c r="F523" s="5"/>
      <c r="G523" s="5"/>
      <c r="H523" s="5"/>
      <c r="I523" s="3"/>
      <c r="J523" s="3"/>
      <c r="K523" s="3"/>
      <c r="L523" s="3"/>
      <c r="M523" s="3"/>
      <c r="N523" s="3"/>
      <c r="O523" s="3"/>
      <c r="P523" s="3"/>
      <c r="Q523" s="3"/>
      <c r="R523" s="3"/>
      <c r="S523" s="3"/>
      <c r="T523" s="3"/>
      <c r="U523" s="3"/>
      <c r="V523" s="3"/>
      <c r="W523" s="3"/>
      <c r="X523" s="3"/>
      <c r="Y523" s="3"/>
    </row>
    <row r="524">
      <c r="A524" s="5"/>
      <c r="B524" s="5"/>
      <c r="C524" s="5"/>
      <c r="D524" s="5"/>
      <c r="E524" s="3"/>
      <c r="F524" s="5"/>
      <c r="G524" s="5"/>
      <c r="H524" s="5"/>
      <c r="I524" s="3"/>
      <c r="J524" s="3"/>
      <c r="K524" s="3"/>
      <c r="L524" s="3"/>
      <c r="M524" s="3"/>
      <c r="N524" s="3"/>
      <c r="O524" s="3"/>
      <c r="P524" s="3"/>
      <c r="Q524" s="3"/>
      <c r="R524" s="3"/>
      <c r="S524" s="3"/>
      <c r="T524" s="3"/>
      <c r="U524" s="3"/>
      <c r="V524" s="3"/>
      <c r="W524" s="3"/>
      <c r="X524" s="3"/>
      <c r="Y524" s="3"/>
    </row>
    <row r="525">
      <c r="A525" s="5"/>
      <c r="B525" s="5"/>
      <c r="C525" s="5"/>
      <c r="D525" s="5"/>
      <c r="E525" s="3"/>
      <c r="F525" s="5"/>
      <c r="G525" s="5"/>
      <c r="H525" s="5"/>
      <c r="I525" s="3"/>
      <c r="J525" s="3"/>
      <c r="K525" s="3"/>
      <c r="L525" s="3"/>
      <c r="M525" s="3"/>
      <c r="N525" s="3"/>
      <c r="O525" s="3"/>
      <c r="P525" s="3"/>
      <c r="Q525" s="3"/>
      <c r="R525" s="3"/>
      <c r="S525" s="3"/>
      <c r="T525" s="3"/>
      <c r="U525" s="3"/>
      <c r="V525" s="3"/>
      <c r="W525" s="3"/>
      <c r="X525" s="3"/>
      <c r="Y525" s="3"/>
    </row>
    <row r="526">
      <c r="A526" s="5"/>
      <c r="B526" s="5"/>
      <c r="C526" s="5"/>
      <c r="D526" s="5"/>
      <c r="E526" s="3"/>
      <c r="F526" s="5"/>
      <c r="G526" s="5"/>
      <c r="H526" s="5"/>
      <c r="I526" s="3"/>
      <c r="J526" s="3"/>
      <c r="K526" s="3"/>
      <c r="L526" s="3"/>
      <c r="M526" s="3"/>
      <c r="N526" s="3"/>
      <c r="O526" s="3"/>
      <c r="P526" s="3"/>
      <c r="Q526" s="3"/>
      <c r="R526" s="3"/>
      <c r="S526" s="3"/>
      <c r="T526" s="3"/>
      <c r="U526" s="3"/>
      <c r="V526" s="3"/>
      <c r="W526" s="3"/>
      <c r="X526" s="3"/>
      <c r="Y526" s="3"/>
    </row>
    <row r="527">
      <c r="A527" s="5"/>
      <c r="B527" s="5"/>
      <c r="C527" s="5"/>
      <c r="D527" s="5"/>
      <c r="E527" s="3"/>
      <c r="F527" s="5"/>
      <c r="G527" s="5"/>
      <c r="H527" s="5"/>
      <c r="I527" s="3"/>
      <c r="J527" s="3"/>
      <c r="K527" s="3"/>
      <c r="L527" s="3"/>
      <c r="M527" s="3"/>
      <c r="N527" s="3"/>
      <c r="O527" s="3"/>
      <c r="P527" s="3"/>
      <c r="Q527" s="3"/>
      <c r="R527" s="3"/>
      <c r="S527" s="3"/>
      <c r="T527" s="3"/>
      <c r="U527" s="3"/>
      <c r="V527" s="3"/>
      <c r="W527" s="3"/>
      <c r="X527" s="3"/>
      <c r="Y527" s="3"/>
    </row>
    <row r="528">
      <c r="A528" s="5"/>
      <c r="B528" s="5"/>
      <c r="C528" s="5"/>
      <c r="D528" s="5"/>
      <c r="E528" s="3"/>
      <c r="F528" s="5"/>
      <c r="G528" s="5"/>
      <c r="H528" s="5"/>
      <c r="I528" s="3"/>
      <c r="J528" s="3"/>
      <c r="K528" s="3"/>
      <c r="L528" s="3"/>
      <c r="M528" s="3"/>
      <c r="N528" s="3"/>
      <c r="O528" s="3"/>
      <c r="P528" s="3"/>
      <c r="Q528" s="3"/>
      <c r="R528" s="3"/>
      <c r="S528" s="3"/>
      <c r="T528" s="3"/>
      <c r="U528" s="3"/>
      <c r="V528" s="3"/>
      <c r="W528" s="3"/>
      <c r="X528" s="3"/>
      <c r="Y528" s="3"/>
    </row>
    <row r="529">
      <c r="A529" s="5"/>
      <c r="B529" s="5"/>
      <c r="C529" s="5"/>
      <c r="D529" s="5"/>
      <c r="E529" s="3"/>
      <c r="F529" s="5"/>
      <c r="G529" s="5"/>
      <c r="H529" s="5"/>
      <c r="I529" s="3"/>
      <c r="J529" s="3"/>
      <c r="K529" s="3"/>
      <c r="L529" s="3"/>
      <c r="M529" s="3"/>
      <c r="N529" s="3"/>
      <c r="O529" s="3"/>
      <c r="P529" s="3"/>
      <c r="Q529" s="3"/>
      <c r="R529" s="3"/>
      <c r="S529" s="3"/>
      <c r="T529" s="3"/>
      <c r="U529" s="3"/>
      <c r="V529" s="3"/>
      <c r="W529" s="3"/>
      <c r="X529" s="3"/>
      <c r="Y529" s="3"/>
    </row>
    <row r="530">
      <c r="A530" s="5"/>
      <c r="B530" s="5"/>
      <c r="C530" s="5"/>
      <c r="D530" s="5"/>
      <c r="E530" s="3"/>
      <c r="F530" s="5"/>
      <c r="G530" s="5"/>
      <c r="H530" s="5"/>
      <c r="I530" s="3"/>
      <c r="J530" s="3"/>
      <c r="K530" s="3"/>
      <c r="L530" s="3"/>
      <c r="M530" s="3"/>
      <c r="N530" s="3"/>
      <c r="O530" s="3"/>
      <c r="P530" s="3"/>
      <c r="Q530" s="3"/>
      <c r="R530" s="3"/>
      <c r="S530" s="3"/>
      <c r="T530" s="3"/>
      <c r="U530" s="3"/>
      <c r="V530" s="3"/>
      <c r="W530" s="3"/>
      <c r="X530" s="3"/>
      <c r="Y530" s="3"/>
    </row>
    <row r="531">
      <c r="A531" s="5"/>
      <c r="B531" s="5"/>
      <c r="C531" s="5"/>
      <c r="D531" s="5"/>
      <c r="E531" s="3"/>
      <c r="F531" s="5"/>
      <c r="G531" s="5"/>
      <c r="H531" s="5"/>
      <c r="I531" s="3"/>
      <c r="J531" s="3"/>
      <c r="K531" s="3"/>
      <c r="L531" s="3"/>
      <c r="M531" s="3"/>
      <c r="N531" s="3"/>
      <c r="O531" s="3"/>
      <c r="P531" s="3"/>
      <c r="Q531" s="3"/>
      <c r="R531" s="3"/>
      <c r="S531" s="3"/>
      <c r="T531" s="3"/>
      <c r="U531" s="3"/>
      <c r="V531" s="3"/>
      <c r="W531" s="3"/>
      <c r="X531" s="3"/>
      <c r="Y531" s="3"/>
    </row>
    <row r="532">
      <c r="A532" s="5"/>
      <c r="B532" s="5"/>
      <c r="C532" s="5"/>
      <c r="D532" s="5"/>
      <c r="E532" s="3"/>
      <c r="F532" s="5"/>
      <c r="G532" s="5"/>
      <c r="H532" s="5"/>
      <c r="I532" s="3"/>
      <c r="J532" s="3"/>
      <c r="K532" s="3"/>
      <c r="L532" s="3"/>
      <c r="M532" s="3"/>
      <c r="N532" s="3"/>
      <c r="O532" s="3"/>
      <c r="P532" s="3"/>
      <c r="Q532" s="3"/>
      <c r="R532" s="3"/>
      <c r="S532" s="3"/>
      <c r="T532" s="3"/>
      <c r="U532" s="3"/>
      <c r="V532" s="3"/>
      <c r="W532" s="3"/>
      <c r="X532" s="3"/>
      <c r="Y532" s="3"/>
    </row>
    <row r="533">
      <c r="A533" s="5"/>
      <c r="B533" s="5"/>
      <c r="C533" s="5"/>
      <c r="D533" s="5"/>
      <c r="E533" s="3"/>
      <c r="F533" s="5"/>
      <c r="G533" s="5"/>
      <c r="H533" s="5"/>
      <c r="I533" s="3"/>
      <c r="J533" s="3"/>
      <c r="K533" s="3"/>
      <c r="L533" s="3"/>
      <c r="M533" s="3"/>
      <c r="N533" s="3"/>
      <c r="O533" s="3"/>
      <c r="P533" s="3"/>
      <c r="Q533" s="3"/>
      <c r="R533" s="3"/>
      <c r="S533" s="3"/>
      <c r="T533" s="3"/>
      <c r="U533" s="3"/>
      <c r="V533" s="3"/>
      <c r="W533" s="3"/>
      <c r="X533" s="3"/>
      <c r="Y533" s="3"/>
    </row>
    <row r="534">
      <c r="A534" s="5"/>
      <c r="B534" s="5"/>
      <c r="C534" s="5"/>
      <c r="D534" s="5"/>
      <c r="E534" s="3"/>
      <c r="F534" s="5"/>
      <c r="G534" s="5"/>
      <c r="H534" s="5"/>
      <c r="I534" s="3"/>
      <c r="J534" s="3"/>
      <c r="K534" s="3"/>
      <c r="L534" s="3"/>
      <c r="M534" s="3"/>
      <c r="N534" s="3"/>
      <c r="O534" s="3"/>
      <c r="P534" s="3"/>
      <c r="Q534" s="3"/>
      <c r="R534" s="3"/>
      <c r="S534" s="3"/>
      <c r="T534" s="3"/>
      <c r="U534" s="3"/>
      <c r="V534" s="3"/>
      <c r="W534" s="3"/>
      <c r="X534" s="3"/>
      <c r="Y534" s="3"/>
    </row>
    <row r="535">
      <c r="A535" s="5"/>
      <c r="B535" s="5"/>
      <c r="C535" s="5"/>
      <c r="D535" s="5"/>
      <c r="E535" s="3"/>
      <c r="F535" s="5"/>
      <c r="G535" s="5"/>
      <c r="H535" s="5"/>
      <c r="I535" s="3"/>
      <c r="J535" s="3"/>
      <c r="K535" s="3"/>
      <c r="L535" s="3"/>
      <c r="M535" s="3"/>
      <c r="N535" s="3"/>
      <c r="O535" s="3"/>
      <c r="P535" s="3"/>
      <c r="Q535" s="3"/>
      <c r="R535" s="3"/>
      <c r="S535" s="3"/>
      <c r="T535" s="3"/>
      <c r="U535" s="3"/>
      <c r="V535" s="3"/>
      <c r="W535" s="3"/>
      <c r="X535" s="3"/>
      <c r="Y535" s="3"/>
    </row>
    <row r="536">
      <c r="A536" s="5"/>
      <c r="B536" s="5"/>
      <c r="C536" s="5"/>
      <c r="D536" s="5"/>
      <c r="E536" s="3"/>
      <c r="F536" s="5"/>
      <c r="G536" s="5"/>
      <c r="H536" s="5"/>
      <c r="I536" s="3"/>
      <c r="J536" s="3"/>
      <c r="K536" s="3"/>
      <c r="L536" s="3"/>
      <c r="M536" s="3"/>
      <c r="N536" s="3"/>
      <c r="O536" s="3"/>
      <c r="P536" s="3"/>
      <c r="Q536" s="3"/>
      <c r="R536" s="3"/>
      <c r="S536" s="3"/>
      <c r="T536" s="3"/>
      <c r="U536" s="3"/>
      <c r="V536" s="3"/>
      <c r="W536" s="3"/>
      <c r="X536" s="3"/>
      <c r="Y536" s="3"/>
    </row>
    <row r="537">
      <c r="A537" s="5"/>
      <c r="B537" s="5"/>
      <c r="C537" s="5"/>
      <c r="D537" s="5"/>
      <c r="E537" s="3"/>
      <c r="F537" s="5"/>
      <c r="G537" s="5"/>
      <c r="H537" s="5"/>
      <c r="I537" s="3"/>
      <c r="J537" s="3"/>
      <c r="K537" s="3"/>
      <c r="L537" s="3"/>
      <c r="M537" s="3"/>
      <c r="N537" s="3"/>
      <c r="O537" s="3"/>
      <c r="P537" s="3"/>
      <c r="Q537" s="3"/>
      <c r="R537" s="3"/>
      <c r="S537" s="3"/>
      <c r="T537" s="3"/>
      <c r="U537" s="3"/>
      <c r="V537" s="3"/>
      <c r="W537" s="3"/>
      <c r="X537" s="3"/>
      <c r="Y537" s="3"/>
    </row>
    <row r="538">
      <c r="A538" s="5"/>
      <c r="B538" s="5"/>
      <c r="C538" s="5"/>
      <c r="D538" s="5"/>
      <c r="E538" s="3"/>
      <c r="F538" s="5"/>
      <c r="G538" s="5"/>
      <c r="H538" s="5"/>
      <c r="I538" s="3"/>
      <c r="J538" s="3"/>
      <c r="K538" s="3"/>
      <c r="L538" s="3"/>
      <c r="M538" s="3"/>
      <c r="N538" s="3"/>
      <c r="O538" s="3"/>
      <c r="P538" s="3"/>
      <c r="Q538" s="3"/>
      <c r="R538" s="3"/>
      <c r="S538" s="3"/>
      <c r="T538" s="3"/>
      <c r="U538" s="3"/>
      <c r="V538" s="3"/>
      <c r="W538" s="3"/>
      <c r="X538" s="3"/>
      <c r="Y538" s="3"/>
    </row>
    <row r="539">
      <c r="A539" s="5"/>
      <c r="B539" s="5"/>
      <c r="C539" s="5"/>
      <c r="D539" s="5"/>
      <c r="E539" s="3"/>
      <c r="F539" s="5"/>
      <c r="G539" s="5"/>
      <c r="H539" s="5"/>
      <c r="I539" s="3"/>
      <c r="J539" s="3"/>
      <c r="K539" s="3"/>
      <c r="L539" s="3"/>
      <c r="M539" s="3"/>
      <c r="N539" s="3"/>
      <c r="O539" s="3"/>
      <c r="P539" s="3"/>
      <c r="Q539" s="3"/>
      <c r="R539" s="3"/>
      <c r="S539" s="3"/>
      <c r="T539" s="3"/>
      <c r="U539" s="3"/>
      <c r="V539" s="3"/>
      <c r="W539" s="3"/>
      <c r="X539" s="3"/>
      <c r="Y539" s="3"/>
    </row>
    <row r="540">
      <c r="A540" s="5"/>
      <c r="B540" s="5"/>
      <c r="C540" s="5"/>
      <c r="D540" s="5"/>
      <c r="E540" s="3"/>
      <c r="F540" s="5"/>
      <c r="G540" s="5"/>
      <c r="H540" s="5"/>
      <c r="I540" s="3"/>
      <c r="J540" s="3"/>
      <c r="K540" s="3"/>
      <c r="L540" s="3"/>
      <c r="M540" s="3"/>
      <c r="N540" s="3"/>
      <c r="O540" s="3"/>
      <c r="P540" s="3"/>
      <c r="Q540" s="3"/>
      <c r="R540" s="3"/>
      <c r="S540" s="3"/>
      <c r="T540" s="3"/>
      <c r="U540" s="3"/>
      <c r="V540" s="3"/>
      <c r="W540" s="3"/>
      <c r="X540" s="3"/>
      <c r="Y540" s="3"/>
    </row>
    <row r="541">
      <c r="A541" s="5"/>
      <c r="B541" s="5"/>
      <c r="C541" s="5"/>
      <c r="D541" s="5"/>
      <c r="E541" s="3"/>
      <c r="F541" s="5"/>
      <c r="G541" s="5"/>
      <c r="H541" s="5"/>
      <c r="I541" s="3"/>
      <c r="J541" s="3"/>
      <c r="K541" s="3"/>
      <c r="L541" s="3"/>
      <c r="M541" s="3"/>
      <c r="N541" s="3"/>
      <c r="O541" s="3"/>
      <c r="P541" s="3"/>
      <c r="Q541" s="3"/>
      <c r="R541" s="3"/>
      <c r="S541" s="3"/>
      <c r="T541" s="3"/>
      <c r="U541" s="3"/>
      <c r="V541" s="3"/>
      <c r="W541" s="3"/>
      <c r="X541" s="3"/>
      <c r="Y541" s="3"/>
    </row>
    <row r="542">
      <c r="A542" s="5"/>
      <c r="B542" s="5"/>
      <c r="C542" s="5"/>
      <c r="D542" s="5"/>
      <c r="E542" s="3"/>
      <c r="F542" s="5"/>
      <c r="G542" s="5"/>
      <c r="H542" s="5"/>
      <c r="I542" s="3"/>
      <c r="J542" s="3"/>
      <c r="K542" s="3"/>
      <c r="L542" s="3"/>
      <c r="M542" s="3"/>
      <c r="N542" s="3"/>
      <c r="O542" s="3"/>
      <c r="P542" s="3"/>
      <c r="Q542" s="3"/>
      <c r="R542" s="3"/>
      <c r="S542" s="3"/>
      <c r="T542" s="3"/>
      <c r="U542" s="3"/>
      <c r="V542" s="3"/>
      <c r="W542" s="3"/>
      <c r="X542" s="3"/>
      <c r="Y542" s="3"/>
    </row>
    <row r="543">
      <c r="A543" s="5"/>
      <c r="B543" s="5"/>
      <c r="C543" s="5"/>
      <c r="D543" s="5"/>
      <c r="E543" s="3"/>
      <c r="F543" s="5"/>
      <c r="G543" s="5"/>
      <c r="H543" s="5"/>
      <c r="I543" s="3"/>
      <c r="J543" s="3"/>
      <c r="K543" s="3"/>
      <c r="L543" s="3"/>
      <c r="M543" s="3"/>
      <c r="N543" s="3"/>
      <c r="O543" s="3"/>
      <c r="P543" s="3"/>
      <c r="Q543" s="3"/>
      <c r="R543" s="3"/>
      <c r="S543" s="3"/>
      <c r="T543" s="3"/>
      <c r="U543" s="3"/>
      <c r="V543" s="3"/>
      <c r="W543" s="3"/>
      <c r="X543" s="3"/>
      <c r="Y543" s="3"/>
    </row>
    <row r="544">
      <c r="A544" s="5"/>
      <c r="B544" s="5"/>
      <c r="C544" s="5"/>
      <c r="D544" s="5"/>
      <c r="E544" s="3"/>
      <c r="F544" s="5"/>
      <c r="G544" s="5"/>
      <c r="H544" s="5"/>
      <c r="I544" s="3"/>
      <c r="J544" s="3"/>
      <c r="K544" s="3"/>
      <c r="L544" s="3"/>
      <c r="M544" s="3"/>
      <c r="N544" s="3"/>
      <c r="O544" s="3"/>
      <c r="P544" s="3"/>
      <c r="Q544" s="3"/>
      <c r="R544" s="3"/>
      <c r="S544" s="3"/>
      <c r="T544" s="3"/>
      <c r="U544" s="3"/>
      <c r="V544" s="3"/>
      <c r="W544" s="3"/>
      <c r="X544" s="3"/>
      <c r="Y544" s="3"/>
    </row>
    <row r="545">
      <c r="A545" s="5"/>
      <c r="B545" s="5"/>
      <c r="C545" s="5"/>
      <c r="D545" s="5"/>
      <c r="E545" s="3"/>
      <c r="F545" s="5"/>
      <c r="G545" s="5"/>
      <c r="H545" s="5"/>
      <c r="I545" s="3"/>
      <c r="J545" s="3"/>
      <c r="K545" s="3"/>
      <c r="L545" s="3"/>
      <c r="M545" s="3"/>
      <c r="N545" s="3"/>
      <c r="O545" s="3"/>
      <c r="P545" s="3"/>
      <c r="Q545" s="3"/>
      <c r="R545" s="3"/>
      <c r="S545" s="3"/>
      <c r="T545" s="3"/>
      <c r="U545" s="3"/>
      <c r="V545" s="3"/>
      <c r="W545" s="3"/>
      <c r="X545" s="3"/>
      <c r="Y545" s="3"/>
    </row>
    <row r="546">
      <c r="A546" s="5"/>
      <c r="B546" s="5"/>
      <c r="C546" s="5"/>
      <c r="D546" s="5"/>
      <c r="E546" s="3"/>
      <c r="F546" s="5"/>
      <c r="G546" s="5"/>
      <c r="H546" s="5"/>
      <c r="I546" s="3"/>
      <c r="J546" s="3"/>
      <c r="K546" s="3"/>
      <c r="L546" s="3"/>
      <c r="M546" s="3"/>
      <c r="N546" s="3"/>
      <c r="O546" s="3"/>
      <c r="P546" s="3"/>
      <c r="Q546" s="3"/>
      <c r="R546" s="3"/>
      <c r="S546" s="3"/>
      <c r="T546" s="3"/>
      <c r="U546" s="3"/>
      <c r="V546" s="3"/>
      <c r="W546" s="3"/>
      <c r="X546" s="3"/>
      <c r="Y546" s="3"/>
    </row>
    <row r="547">
      <c r="A547" s="5"/>
      <c r="B547" s="5"/>
      <c r="C547" s="5"/>
      <c r="D547" s="5"/>
      <c r="E547" s="3"/>
      <c r="F547" s="5"/>
      <c r="G547" s="5"/>
      <c r="H547" s="5"/>
      <c r="I547" s="3"/>
      <c r="J547" s="3"/>
      <c r="K547" s="3"/>
      <c r="L547" s="3"/>
      <c r="M547" s="3"/>
      <c r="N547" s="3"/>
      <c r="O547" s="3"/>
      <c r="P547" s="3"/>
      <c r="Q547" s="3"/>
      <c r="R547" s="3"/>
      <c r="S547" s="3"/>
      <c r="T547" s="3"/>
      <c r="U547" s="3"/>
      <c r="V547" s="3"/>
      <c r="W547" s="3"/>
      <c r="X547" s="3"/>
      <c r="Y547" s="3"/>
    </row>
    <row r="548">
      <c r="A548" s="5"/>
      <c r="B548" s="5"/>
      <c r="C548" s="5"/>
      <c r="D548" s="5"/>
      <c r="E548" s="3"/>
      <c r="F548" s="5"/>
      <c r="G548" s="5"/>
      <c r="H548" s="5"/>
      <c r="I548" s="3"/>
      <c r="J548" s="3"/>
      <c r="K548" s="3"/>
      <c r="L548" s="3"/>
      <c r="M548" s="3"/>
      <c r="N548" s="3"/>
      <c r="O548" s="3"/>
      <c r="P548" s="3"/>
      <c r="Q548" s="3"/>
      <c r="R548" s="3"/>
      <c r="S548" s="3"/>
      <c r="T548" s="3"/>
      <c r="U548" s="3"/>
      <c r="V548" s="3"/>
      <c r="W548" s="3"/>
      <c r="X548" s="3"/>
      <c r="Y548" s="3"/>
    </row>
    <row r="549">
      <c r="A549" s="5"/>
      <c r="B549" s="5"/>
      <c r="C549" s="5"/>
      <c r="D549" s="5"/>
      <c r="E549" s="3"/>
      <c r="F549" s="5"/>
      <c r="G549" s="5"/>
      <c r="H549" s="5"/>
      <c r="I549" s="3"/>
      <c r="J549" s="3"/>
      <c r="K549" s="3"/>
      <c r="L549" s="3"/>
      <c r="M549" s="3"/>
      <c r="N549" s="3"/>
      <c r="O549" s="3"/>
      <c r="P549" s="3"/>
      <c r="Q549" s="3"/>
      <c r="R549" s="3"/>
      <c r="S549" s="3"/>
      <c r="T549" s="3"/>
      <c r="U549" s="3"/>
      <c r="V549" s="3"/>
      <c r="W549" s="3"/>
      <c r="X549" s="3"/>
      <c r="Y549" s="3"/>
    </row>
    <row r="550">
      <c r="A550" s="5"/>
      <c r="B550" s="5"/>
      <c r="C550" s="5"/>
      <c r="D550" s="5"/>
      <c r="E550" s="3"/>
      <c r="F550" s="5"/>
      <c r="G550" s="5"/>
      <c r="H550" s="5"/>
      <c r="I550" s="3"/>
      <c r="J550" s="3"/>
      <c r="K550" s="3"/>
      <c r="L550" s="3"/>
      <c r="M550" s="3"/>
      <c r="N550" s="3"/>
      <c r="O550" s="3"/>
      <c r="P550" s="3"/>
      <c r="Q550" s="3"/>
      <c r="R550" s="3"/>
      <c r="S550" s="3"/>
      <c r="T550" s="3"/>
      <c r="U550" s="3"/>
      <c r="V550" s="3"/>
      <c r="W550" s="3"/>
      <c r="X550" s="3"/>
      <c r="Y550" s="3"/>
    </row>
    <row r="551">
      <c r="A551" s="5"/>
      <c r="B551" s="5"/>
      <c r="C551" s="5"/>
      <c r="D551" s="5"/>
      <c r="E551" s="3"/>
      <c r="F551" s="5"/>
      <c r="G551" s="5"/>
      <c r="H551" s="5"/>
      <c r="I551" s="3"/>
      <c r="J551" s="3"/>
      <c r="K551" s="3"/>
      <c r="L551" s="3"/>
      <c r="M551" s="3"/>
      <c r="N551" s="3"/>
      <c r="O551" s="3"/>
      <c r="P551" s="3"/>
      <c r="Q551" s="3"/>
      <c r="R551" s="3"/>
      <c r="S551" s="3"/>
      <c r="T551" s="3"/>
      <c r="U551" s="3"/>
      <c r="V551" s="3"/>
      <c r="W551" s="3"/>
      <c r="X551" s="3"/>
      <c r="Y551" s="3"/>
    </row>
    <row r="552">
      <c r="A552" s="5"/>
      <c r="B552" s="5"/>
      <c r="C552" s="5"/>
      <c r="D552" s="5"/>
      <c r="E552" s="3"/>
      <c r="F552" s="5"/>
      <c r="G552" s="5"/>
      <c r="H552" s="5"/>
      <c r="I552" s="3"/>
      <c r="J552" s="3"/>
      <c r="K552" s="3"/>
      <c r="L552" s="3"/>
      <c r="M552" s="3"/>
      <c r="N552" s="3"/>
      <c r="O552" s="3"/>
      <c r="P552" s="3"/>
      <c r="Q552" s="3"/>
      <c r="R552" s="3"/>
      <c r="S552" s="3"/>
      <c r="T552" s="3"/>
      <c r="U552" s="3"/>
      <c r="V552" s="3"/>
      <c r="W552" s="3"/>
      <c r="X552" s="3"/>
      <c r="Y552" s="3"/>
    </row>
    <row r="553">
      <c r="A553" s="5"/>
      <c r="B553" s="5"/>
      <c r="C553" s="5"/>
      <c r="D553" s="5"/>
      <c r="E553" s="3"/>
      <c r="F553" s="5"/>
      <c r="G553" s="5"/>
      <c r="H553" s="5"/>
      <c r="I553" s="3"/>
      <c r="J553" s="3"/>
      <c r="K553" s="3"/>
      <c r="L553" s="3"/>
      <c r="M553" s="3"/>
      <c r="N553" s="3"/>
      <c r="O553" s="3"/>
      <c r="P553" s="3"/>
      <c r="Q553" s="3"/>
      <c r="R553" s="3"/>
      <c r="S553" s="3"/>
      <c r="T553" s="3"/>
      <c r="U553" s="3"/>
      <c r="V553" s="3"/>
      <c r="W553" s="3"/>
      <c r="X553" s="3"/>
      <c r="Y553" s="3"/>
    </row>
    <row r="554">
      <c r="A554" s="5"/>
      <c r="B554" s="5"/>
      <c r="C554" s="5"/>
      <c r="D554" s="5"/>
      <c r="E554" s="3"/>
      <c r="F554" s="5"/>
      <c r="G554" s="5"/>
      <c r="H554" s="5"/>
      <c r="I554" s="3"/>
      <c r="J554" s="3"/>
      <c r="K554" s="3"/>
      <c r="L554" s="3"/>
      <c r="M554" s="3"/>
      <c r="N554" s="3"/>
      <c r="O554" s="3"/>
      <c r="P554" s="3"/>
      <c r="Q554" s="3"/>
      <c r="R554" s="3"/>
      <c r="S554" s="3"/>
      <c r="T554" s="3"/>
      <c r="U554" s="3"/>
      <c r="V554" s="3"/>
      <c r="W554" s="3"/>
      <c r="X554" s="3"/>
      <c r="Y554" s="3"/>
    </row>
    <row r="555">
      <c r="A555" s="5"/>
      <c r="B555" s="5"/>
      <c r="C555" s="5"/>
      <c r="D555" s="5"/>
      <c r="E555" s="3"/>
      <c r="F555" s="5"/>
      <c r="G555" s="5"/>
      <c r="H555" s="5"/>
      <c r="I555" s="3"/>
      <c r="J555" s="3"/>
      <c r="K555" s="3"/>
      <c r="L555" s="3"/>
      <c r="M555" s="3"/>
      <c r="N555" s="3"/>
      <c r="O555" s="3"/>
      <c r="P555" s="3"/>
      <c r="Q555" s="3"/>
      <c r="R555" s="3"/>
      <c r="S555" s="3"/>
      <c r="T555" s="3"/>
      <c r="U555" s="3"/>
      <c r="V555" s="3"/>
      <c r="W555" s="3"/>
      <c r="X555" s="3"/>
      <c r="Y555" s="3"/>
    </row>
    <row r="556">
      <c r="A556" s="5"/>
      <c r="B556" s="5"/>
      <c r="C556" s="5"/>
      <c r="D556" s="5"/>
      <c r="E556" s="3"/>
      <c r="F556" s="5"/>
      <c r="G556" s="5"/>
      <c r="H556" s="5"/>
      <c r="I556" s="3"/>
      <c r="J556" s="3"/>
      <c r="K556" s="3"/>
      <c r="L556" s="3"/>
      <c r="M556" s="3"/>
      <c r="N556" s="3"/>
      <c r="O556" s="3"/>
      <c r="P556" s="3"/>
      <c r="Q556" s="3"/>
      <c r="R556" s="3"/>
      <c r="S556" s="3"/>
      <c r="T556" s="3"/>
      <c r="U556" s="3"/>
      <c r="V556" s="3"/>
      <c r="W556" s="3"/>
      <c r="X556" s="3"/>
      <c r="Y556" s="3"/>
    </row>
    <row r="557">
      <c r="A557" s="5"/>
      <c r="B557" s="5"/>
      <c r="C557" s="5"/>
      <c r="D557" s="5"/>
      <c r="E557" s="3"/>
      <c r="F557" s="5"/>
      <c r="G557" s="5"/>
      <c r="H557" s="5"/>
      <c r="I557" s="3"/>
      <c r="J557" s="3"/>
      <c r="K557" s="3"/>
      <c r="L557" s="3"/>
      <c r="M557" s="3"/>
      <c r="N557" s="3"/>
      <c r="O557" s="3"/>
      <c r="P557" s="3"/>
      <c r="Q557" s="3"/>
      <c r="R557" s="3"/>
      <c r="S557" s="3"/>
      <c r="T557" s="3"/>
      <c r="U557" s="3"/>
      <c r="V557" s="3"/>
      <c r="W557" s="3"/>
      <c r="X557" s="3"/>
      <c r="Y557" s="3"/>
    </row>
    <row r="558">
      <c r="A558" s="5"/>
      <c r="B558" s="5"/>
      <c r="C558" s="5"/>
      <c r="D558" s="5"/>
      <c r="E558" s="3"/>
      <c r="F558" s="5"/>
      <c r="G558" s="5"/>
      <c r="H558" s="5"/>
      <c r="I558" s="3"/>
      <c r="J558" s="3"/>
      <c r="K558" s="3"/>
      <c r="L558" s="3"/>
      <c r="M558" s="3"/>
      <c r="N558" s="3"/>
      <c r="O558" s="3"/>
      <c r="P558" s="3"/>
      <c r="Q558" s="3"/>
      <c r="R558" s="3"/>
      <c r="S558" s="3"/>
      <c r="T558" s="3"/>
      <c r="U558" s="3"/>
      <c r="V558" s="3"/>
      <c r="W558" s="3"/>
      <c r="X558" s="3"/>
      <c r="Y558" s="3"/>
    </row>
    <row r="559">
      <c r="A559" s="5"/>
      <c r="B559" s="5"/>
      <c r="C559" s="5"/>
      <c r="D559" s="5"/>
      <c r="E559" s="3"/>
      <c r="F559" s="5"/>
      <c r="G559" s="5"/>
      <c r="H559" s="5"/>
      <c r="I559" s="3"/>
      <c r="J559" s="3"/>
      <c r="K559" s="3"/>
      <c r="L559" s="3"/>
      <c r="M559" s="3"/>
      <c r="N559" s="3"/>
      <c r="O559" s="3"/>
      <c r="P559" s="3"/>
      <c r="Q559" s="3"/>
      <c r="R559" s="3"/>
      <c r="S559" s="3"/>
      <c r="T559" s="3"/>
      <c r="U559" s="3"/>
      <c r="V559" s="3"/>
      <c r="W559" s="3"/>
      <c r="X559" s="3"/>
      <c r="Y559" s="3"/>
    </row>
    <row r="560">
      <c r="A560" s="5"/>
      <c r="B560" s="5"/>
      <c r="C560" s="5"/>
      <c r="D560" s="5"/>
      <c r="E560" s="3"/>
      <c r="F560" s="5"/>
      <c r="G560" s="5"/>
      <c r="H560" s="5"/>
      <c r="I560" s="3"/>
      <c r="J560" s="3"/>
      <c r="K560" s="3"/>
      <c r="L560" s="3"/>
      <c r="M560" s="3"/>
      <c r="N560" s="3"/>
      <c r="O560" s="3"/>
      <c r="P560" s="3"/>
      <c r="Q560" s="3"/>
      <c r="R560" s="3"/>
      <c r="S560" s="3"/>
      <c r="T560" s="3"/>
      <c r="U560" s="3"/>
      <c r="V560" s="3"/>
      <c r="W560" s="3"/>
      <c r="X560" s="3"/>
      <c r="Y560" s="3"/>
    </row>
    <row r="561">
      <c r="A561" s="5"/>
      <c r="B561" s="5"/>
      <c r="C561" s="5"/>
      <c r="D561" s="5"/>
      <c r="E561" s="3"/>
      <c r="F561" s="5"/>
      <c r="G561" s="5"/>
      <c r="H561" s="5"/>
      <c r="I561" s="3"/>
      <c r="J561" s="3"/>
      <c r="K561" s="3"/>
      <c r="L561" s="3"/>
      <c r="M561" s="3"/>
      <c r="N561" s="3"/>
      <c r="O561" s="3"/>
      <c r="P561" s="3"/>
      <c r="Q561" s="3"/>
      <c r="R561" s="3"/>
      <c r="S561" s="3"/>
      <c r="T561" s="3"/>
      <c r="U561" s="3"/>
      <c r="V561" s="3"/>
      <c r="W561" s="3"/>
      <c r="X561" s="3"/>
      <c r="Y561" s="3"/>
    </row>
    <row r="562">
      <c r="A562" s="5"/>
      <c r="B562" s="5"/>
      <c r="C562" s="5"/>
      <c r="D562" s="5"/>
      <c r="E562" s="3"/>
      <c r="F562" s="5"/>
      <c r="G562" s="5"/>
      <c r="H562" s="5"/>
      <c r="I562" s="3"/>
      <c r="J562" s="3"/>
      <c r="K562" s="3"/>
      <c r="L562" s="3"/>
      <c r="M562" s="3"/>
      <c r="N562" s="3"/>
      <c r="O562" s="3"/>
      <c r="P562" s="3"/>
      <c r="Q562" s="3"/>
      <c r="R562" s="3"/>
      <c r="S562" s="3"/>
      <c r="T562" s="3"/>
      <c r="U562" s="3"/>
      <c r="V562" s="3"/>
      <c r="W562" s="3"/>
      <c r="X562" s="3"/>
      <c r="Y562" s="3"/>
    </row>
    <row r="563">
      <c r="A563" s="5"/>
      <c r="B563" s="5"/>
      <c r="C563" s="5"/>
      <c r="D563" s="5"/>
      <c r="E563" s="3"/>
      <c r="F563" s="5"/>
      <c r="G563" s="5"/>
      <c r="H563" s="5"/>
      <c r="I563" s="3"/>
      <c r="J563" s="3"/>
      <c r="K563" s="3"/>
      <c r="L563" s="3"/>
      <c r="M563" s="3"/>
      <c r="N563" s="3"/>
      <c r="O563" s="3"/>
      <c r="P563" s="3"/>
      <c r="Q563" s="3"/>
      <c r="R563" s="3"/>
      <c r="S563" s="3"/>
      <c r="T563" s="3"/>
      <c r="U563" s="3"/>
      <c r="V563" s="3"/>
      <c r="W563" s="3"/>
      <c r="X563" s="3"/>
      <c r="Y563" s="3"/>
    </row>
    <row r="564">
      <c r="A564" s="5"/>
      <c r="B564" s="5"/>
      <c r="C564" s="5"/>
      <c r="D564" s="5"/>
      <c r="E564" s="3"/>
      <c r="F564" s="5"/>
      <c r="G564" s="5"/>
      <c r="H564" s="5"/>
      <c r="I564" s="3"/>
      <c r="J564" s="3"/>
      <c r="K564" s="3"/>
      <c r="L564" s="3"/>
      <c r="M564" s="3"/>
      <c r="N564" s="3"/>
      <c r="O564" s="3"/>
      <c r="P564" s="3"/>
      <c r="Q564" s="3"/>
      <c r="R564" s="3"/>
      <c r="S564" s="3"/>
      <c r="T564" s="3"/>
      <c r="U564" s="3"/>
      <c r="V564" s="3"/>
      <c r="W564" s="3"/>
      <c r="X564" s="3"/>
      <c r="Y564" s="3"/>
    </row>
    <row r="565">
      <c r="A565" s="5"/>
      <c r="B565" s="5"/>
      <c r="C565" s="5"/>
      <c r="D565" s="5"/>
      <c r="E565" s="3"/>
      <c r="F565" s="5"/>
      <c r="G565" s="5"/>
      <c r="H565" s="5"/>
      <c r="I565" s="3"/>
      <c r="J565" s="3"/>
      <c r="K565" s="3"/>
      <c r="L565" s="3"/>
      <c r="M565" s="3"/>
      <c r="N565" s="3"/>
      <c r="O565" s="3"/>
      <c r="P565" s="3"/>
      <c r="Q565" s="3"/>
      <c r="R565" s="3"/>
      <c r="S565" s="3"/>
      <c r="T565" s="3"/>
      <c r="U565" s="3"/>
      <c r="V565" s="3"/>
      <c r="W565" s="3"/>
      <c r="X565" s="3"/>
      <c r="Y565" s="3"/>
    </row>
    <row r="566">
      <c r="A566" s="5"/>
      <c r="B566" s="5"/>
      <c r="C566" s="5"/>
      <c r="D566" s="5"/>
      <c r="E566" s="3"/>
      <c r="F566" s="5"/>
      <c r="G566" s="5"/>
      <c r="H566" s="5"/>
      <c r="I566" s="3"/>
      <c r="J566" s="3"/>
      <c r="K566" s="3"/>
      <c r="L566" s="3"/>
      <c r="M566" s="3"/>
      <c r="N566" s="3"/>
      <c r="O566" s="3"/>
      <c r="P566" s="3"/>
      <c r="Q566" s="3"/>
      <c r="R566" s="3"/>
      <c r="S566" s="3"/>
      <c r="T566" s="3"/>
      <c r="U566" s="3"/>
      <c r="V566" s="3"/>
      <c r="W566" s="3"/>
      <c r="X566" s="3"/>
      <c r="Y566" s="3"/>
    </row>
    <row r="567">
      <c r="A567" s="5"/>
      <c r="B567" s="5"/>
      <c r="C567" s="5"/>
      <c r="D567" s="5"/>
      <c r="E567" s="3"/>
      <c r="F567" s="5"/>
      <c r="G567" s="5"/>
      <c r="H567" s="5"/>
      <c r="I567" s="3"/>
      <c r="J567" s="3"/>
      <c r="K567" s="3"/>
      <c r="L567" s="3"/>
      <c r="M567" s="3"/>
      <c r="N567" s="3"/>
      <c r="O567" s="3"/>
      <c r="P567" s="3"/>
      <c r="Q567" s="3"/>
      <c r="R567" s="3"/>
      <c r="S567" s="3"/>
      <c r="T567" s="3"/>
      <c r="U567" s="3"/>
      <c r="V567" s="3"/>
      <c r="W567" s="3"/>
      <c r="X567" s="3"/>
      <c r="Y567" s="3"/>
    </row>
    <row r="568">
      <c r="A568" s="5"/>
      <c r="B568" s="5"/>
      <c r="C568" s="5"/>
      <c r="D568" s="5"/>
      <c r="E568" s="3"/>
      <c r="F568" s="5"/>
      <c r="G568" s="5"/>
      <c r="H568" s="5"/>
      <c r="I568" s="3"/>
      <c r="J568" s="3"/>
      <c r="K568" s="3"/>
      <c r="L568" s="3"/>
      <c r="M568" s="3"/>
      <c r="N568" s="3"/>
      <c r="O568" s="3"/>
      <c r="P568" s="3"/>
      <c r="Q568" s="3"/>
      <c r="R568" s="3"/>
      <c r="S568" s="3"/>
      <c r="T568" s="3"/>
      <c r="U568" s="3"/>
      <c r="V568" s="3"/>
      <c r="W568" s="3"/>
      <c r="X568" s="3"/>
      <c r="Y568" s="3"/>
    </row>
    <row r="569">
      <c r="A569" s="5"/>
      <c r="B569" s="5"/>
      <c r="C569" s="5"/>
      <c r="D569" s="5"/>
      <c r="E569" s="3"/>
      <c r="F569" s="5"/>
      <c r="G569" s="5"/>
      <c r="H569" s="5"/>
      <c r="I569" s="3"/>
      <c r="J569" s="3"/>
      <c r="K569" s="3"/>
      <c r="L569" s="3"/>
      <c r="M569" s="3"/>
      <c r="N569" s="3"/>
      <c r="O569" s="3"/>
      <c r="P569" s="3"/>
      <c r="Q569" s="3"/>
      <c r="R569" s="3"/>
      <c r="S569" s="3"/>
      <c r="T569" s="3"/>
      <c r="U569" s="3"/>
      <c r="V569" s="3"/>
      <c r="W569" s="3"/>
      <c r="X569" s="3"/>
      <c r="Y569" s="3"/>
    </row>
    <row r="570">
      <c r="A570" s="5"/>
      <c r="B570" s="5"/>
      <c r="C570" s="5"/>
      <c r="D570" s="5"/>
      <c r="E570" s="3"/>
      <c r="F570" s="5"/>
      <c r="G570" s="5"/>
      <c r="H570" s="5"/>
      <c r="I570" s="3"/>
      <c r="J570" s="3"/>
      <c r="K570" s="3"/>
      <c r="L570" s="3"/>
      <c r="M570" s="3"/>
      <c r="N570" s="3"/>
      <c r="O570" s="3"/>
      <c r="P570" s="3"/>
      <c r="Q570" s="3"/>
      <c r="R570" s="3"/>
      <c r="S570" s="3"/>
      <c r="T570" s="3"/>
      <c r="U570" s="3"/>
      <c r="V570" s="3"/>
      <c r="W570" s="3"/>
      <c r="X570" s="3"/>
      <c r="Y570" s="3"/>
    </row>
    <row r="571">
      <c r="A571" s="5"/>
      <c r="B571" s="5"/>
      <c r="C571" s="5"/>
      <c r="D571" s="5"/>
      <c r="E571" s="3"/>
      <c r="F571" s="5"/>
      <c r="G571" s="5"/>
      <c r="H571" s="5"/>
      <c r="I571" s="3"/>
      <c r="J571" s="3"/>
      <c r="K571" s="3"/>
      <c r="L571" s="3"/>
      <c r="M571" s="3"/>
      <c r="N571" s="3"/>
      <c r="O571" s="3"/>
      <c r="P571" s="3"/>
      <c r="Q571" s="3"/>
      <c r="R571" s="3"/>
      <c r="S571" s="3"/>
      <c r="T571" s="3"/>
      <c r="U571" s="3"/>
      <c r="V571" s="3"/>
      <c r="W571" s="3"/>
      <c r="X571" s="3"/>
      <c r="Y571" s="3"/>
    </row>
    <row r="572">
      <c r="A572" s="5"/>
      <c r="B572" s="5"/>
      <c r="C572" s="5"/>
      <c r="D572" s="5"/>
      <c r="E572" s="3"/>
      <c r="F572" s="5"/>
      <c r="G572" s="5"/>
      <c r="H572" s="5"/>
      <c r="I572" s="3"/>
      <c r="J572" s="3"/>
      <c r="K572" s="3"/>
      <c r="L572" s="3"/>
      <c r="M572" s="3"/>
      <c r="N572" s="3"/>
      <c r="O572" s="3"/>
      <c r="P572" s="3"/>
      <c r="Q572" s="3"/>
      <c r="R572" s="3"/>
      <c r="S572" s="3"/>
      <c r="T572" s="3"/>
      <c r="U572" s="3"/>
      <c r="V572" s="3"/>
      <c r="W572" s="3"/>
      <c r="X572" s="3"/>
      <c r="Y572" s="3"/>
    </row>
    <row r="573">
      <c r="A573" s="5"/>
      <c r="B573" s="5"/>
      <c r="C573" s="5"/>
      <c r="D573" s="5"/>
      <c r="E573" s="3"/>
      <c r="F573" s="5"/>
      <c r="G573" s="5"/>
      <c r="H573" s="5"/>
      <c r="I573" s="3"/>
      <c r="J573" s="3"/>
      <c r="K573" s="3"/>
      <c r="L573" s="3"/>
      <c r="M573" s="3"/>
      <c r="N573" s="3"/>
      <c r="O573" s="3"/>
      <c r="P573" s="3"/>
      <c r="Q573" s="3"/>
      <c r="R573" s="3"/>
      <c r="S573" s="3"/>
      <c r="T573" s="3"/>
      <c r="U573" s="3"/>
      <c r="V573" s="3"/>
      <c r="W573" s="3"/>
      <c r="X573" s="3"/>
      <c r="Y573" s="3"/>
    </row>
    <row r="574">
      <c r="A574" s="5"/>
      <c r="B574" s="5"/>
      <c r="C574" s="5"/>
      <c r="D574" s="5"/>
      <c r="E574" s="3"/>
      <c r="F574" s="5"/>
      <c r="G574" s="5"/>
      <c r="H574" s="5"/>
      <c r="I574" s="3"/>
      <c r="J574" s="3"/>
      <c r="K574" s="3"/>
      <c r="L574" s="3"/>
      <c r="M574" s="3"/>
      <c r="N574" s="3"/>
      <c r="O574" s="3"/>
      <c r="P574" s="3"/>
      <c r="Q574" s="3"/>
      <c r="R574" s="3"/>
      <c r="S574" s="3"/>
      <c r="T574" s="3"/>
      <c r="U574" s="3"/>
      <c r="V574" s="3"/>
      <c r="W574" s="3"/>
      <c r="X574" s="3"/>
      <c r="Y574" s="3"/>
    </row>
    <row r="575">
      <c r="A575" s="5"/>
      <c r="B575" s="5"/>
      <c r="C575" s="5"/>
      <c r="D575" s="5"/>
      <c r="E575" s="3"/>
      <c r="F575" s="5"/>
      <c r="G575" s="5"/>
      <c r="H575" s="5"/>
      <c r="I575" s="3"/>
      <c r="J575" s="3"/>
      <c r="K575" s="3"/>
      <c r="L575" s="3"/>
      <c r="M575" s="3"/>
      <c r="N575" s="3"/>
      <c r="O575" s="3"/>
      <c r="P575" s="3"/>
      <c r="Q575" s="3"/>
      <c r="R575" s="3"/>
      <c r="S575" s="3"/>
      <c r="T575" s="3"/>
      <c r="U575" s="3"/>
      <c r="V575" s="3"/>
      <c r="W575" s="3"/>
      <c r="X575" s="3"/>
      <c r="Y575" s="3"/>
    </row>
    <row r="576">
      <c r="A576" s="5"/>
      <c r="B576" s="5"/>
      <c r="C576" s="5"/>
      <c r="D576" s="5"/>
      <c r="E576" s="3"/>
      <c r="F576" s="5"/>
      <c r="G576" s="5"/>
      <c r="H576" s="5"/>
      <c r="I576" s="3"/>
      <c r="J576" s="3"/>
      <c r="K576" s="3"/>
      <c r="L576" s="3"/>
      <c r="M576" s="3"/>
      <c r="N576" s="3"/>
      <c r="O576" s="3"/>
      <c r="P576" s="3"/>
      <c r="Q576" s="3"/>
      <c r="R576" s="3"/>
      <c r="S576" s="3"/>
      <c r="T576" s="3"/>
      <c r="U576" s="3"/>
      <c r="V576" s="3"/>
      <c r="W576" s="3"/>
      <c r="X576" s="3"/>
      <c r="Y576" s="3"/>
    </row>
    <row r="577">
      <c r="A577" s="5"/>
      <c r="B577" s="5"/>
      <c r="C577" s="5"/>
      <c r="D577" s="5"/>
      <c r="E577" s="3"/>
      <c r="F577" s="5"/>
      <c r="G577" s="5"/>
      <c r="H577" s="5"/>
      <c r="I577" s="3"/>
      <c r="J577" s="3"/>
      <c r="K577" s="3"/>
      <c r="L577" s="3"/>
      <c r="M577" s="3"/>
      <c r="N577" s="3"/>
      <c r="O577" s="3"/>
      <c r="P577" s="3"/>
      <c r="Q577" s="3"/>
      <c r="R577" s="3"/>
      <c r="S577" s="3"/>
      <c r="T577" s="3"/>
      <c r="U577" s="3"/>
      <c r="V577" s="3"/>
      <c r="W577" s="3"/>
      <c r="X577" s="3"/>
      <c r="Y577" s="3"/>
    </row>
    <row r="578">
      <c r="A578" s="5"/>
      <c r="B578" s="5"/>
      <c r="C578" s="5"/>
      <c r="D578" s="5"/>
      <c r="E578" s="3"/>
      <c r="F578" s="5"/>
      <c r="G578" s="5"/>
      <c r="H578" s="5"/>
      <c r="I578" s="3"/>
      <c r="J578" s="3"/>
      <c r="K578" s="3"/>
      <c r="L578" s="3"/>
      <c r="M578" s="3"/>
      <c r="N578" s="3"/>
      <c r="O578" s="3"/>
      <c r="P578" s="3"/>
      <c r="Q578" s="3"/>
      <c r="R578" s="3"/>
      <c r="S578" s="3"/>
      <c r="T578" s="3"/>
      <c r="U578" s="3"/>
      <c r="V578" s="3"/>
      <c r="W578" s="3"/>
      <c r="X578" s="3"/>
      <c r="Y578" s="3"/>
    </row>
    <row r="579">
      <c r="A579" s="5"/>
      <c r="B579" s="5"/>
      <c r="C579" s="5"/>
      <c r="D579" s="5"/>
      <c r="E579" s="3"/>
      <c r="F579" s="5"/>
      <c r="G579" s="5"/>
      <c r="H579" s="5"/>
      <c r="I579" s="3"/>
      <c r="J579" s="3"/>
      <c r="K579" s="3"/>
      <c r="L579" s="3"/>
      <c r="M579" s="3"/>
      <c r="N579" s="3"/>
      <c r="O579" s="3"/>
      <c r="P579" s="3"/>
      <c r="Q579" s="3"/>
      <c r="R579" s="3"/>
      <c r="S579" s="3"/>
      <c r="T579" s="3"/>
      <c r="U579" s="3"/>
      <c r="V579" s="3"/>
      <c r="W579" s="3"/>
      <c r="X579" s="3"/>
      <c r="Y579" s="3"/>
    </row>
    <row r="580">
      <c r="A580" s="5"/>
      <c r="B580" s="5"/>
      <c r="C580" s="5"/>
      <c r="D580" s="5"/>
      <c r="E580" s="3"/>
      <c r="F580" s="5"/>
      <c r="G580" s="5"/>
      <c r="H580" s="5"/>
      <c r="I580" s="3"/>
      <c r="J580" s="3"/>
      <c r="K580" s="3"/>
      <c r="L580" s="3"/>
      <c r="M580" s="3"/>
      <c r="N580" s="3"/>
      <c r="O580" s="3"/>
      <c r="P580" s="3"/>
      <c r="Q580" s="3"/>
      <c r="R580" s="3"/>
      <c r="S580" s="3"/>
      <c r="T580" s="3"/>
      <c r="U580" s="3"/>
      <c r="V580" s="3"/>
      <c r="W580" s="3"/>
      <c r="X580" s="3"/>
      <c r="Y580" s="3"/>
    </row>
    <row r="581">
      <c r="A581" s="5"/>
      <c r="B581" s="5"/>
      <c r="C581" s="5"/>
      <c r="D581" s="5"/>
      <c r="E581" s="3"/>
      <c r="F581" s="5"/>
      <c r="G581" s="5"/>
      <c r="H581" s="5"/>
      <c r="I581" s="3"/>
      <c r="J581" s="3"/>
      <c r="K581" s="3"/>
      <c r="L581" s="3"/>
      <c r="M581" s="3"/>
      <c r="N581" s="3"/>
      <c r="O581" s="3"/>
      <c r="P581" s="3"/>
      <c r="Q581" s="3"/>
      <c r="R581" s="3"/>
      <c r="S581" s="3"/>
      <c r="T581" s="3"/>
      <c r="U581" s="3"/>
      <c r="V581" s="3"/>
      <c r="W581" s="3"/>
      <c r="X581" s="3"/>
      <c r="Y581" s="3"/>
    </row>
    <row r="582">
      <c r="A582" s="5"/>
      <c r="B582" s="5"/>
      <c r="C582" s="5"/>
      <c r="D582" s="5"/>
      <c r="E582" s="3"/>
      <c r="F582" s="5"/>
      <c r="G582" s="5"/>
      <c r="H582" s="5"/>
      <c r="I582" s="3"/>
      <c r="J582" s="3"/>
      <c r="K582" s="3"/>
      <c r="L582" s="3"/>
      <c r="M582" s="3"/>
      <c r="N582" s="3"/>
      <c r="O582" s="3"/>
      <c r="P582" s="3"/>
      <c r="Q582" s="3"/>
      <c r="R582" s="3"/>
      <c r="S582" s="3"/>
      <c r="T582" s="3"/>
      <c r="U582" s="3"/>
      <c r="V582" s="3"/>
      <c r="W582" s="3"/>
      <c r="X582" s="3"/>
      <c r="Y582" s="3"/>
    </row>
    <row r="583">
      <c r="A583" s="5"/>
      <c r="B583" s="5"/>
      <c r="C583" s="5"/>
      <c r="D583" s="5"/>
      <c r="E583" s="3"/>
      <c r="F583" s="5"/>
      <c r="G583" s="5"/>
      <c r="H583" s="5"/>
      <c r="I583" s="3"/>
      <c r="J583" s="3"/>
      <c r="K583" s="3"/>
      <c r="L583" s="3"/>
      <c r="M583" s="3"/>
      <c r="N583" s="3"/>
      <c r="O583" s="3"/>
      <c r="P583" s="3"/>
      <c r="Q583" s="3"/>
      <c r="R583" s="3"/>
      <c r="S583" s="3"/>
      <c r="T583" s="3"/>
      <c r="U583" s="3"/>
      <c r="V583" s="3"/>
      <c r="W583" s="3"/>
      <c r="X583" s="3"/>
      <c r="Y583" s="3"/>
    </row>
    <row r="584">
      <c r="A584" s="5"/>
      <c r="B584" s="5"/>
      <c r="C584" s="5"/>
      <c r="D584" s="5"/>
      <c r="E584" s="3"/>
      <c r="F584" s="5"/>
      <c r="G584" s="5"/>
      <c r="H584" s="5"/>
      <c r="I584" s="3"/>
      <c r="J584" s="3"/>
      <c r="K584" s="3"/>
      <c r="L584" s="3"/>
      <c r="M584" s="3"/>
      <c r="N584" s="3"/>
      <c r="O584" s="3"/>
      <c r="P584" s="3"/>
      <c r="Q584" s="3"/>
      <c r="R584" s="3"/>
      <c r="S584" s="3"/>
      <c r="T584" s="3"/>
      <c r="U584" s="3"/>
      <c r="V584" s="3"/>
      <c r="W584" s="3"/>
      <c r="X584" s="3"/>
      <c r="Y584" s="3"/>
    </row>
    <row r="585">
      <c r="A585" s="5"/>
      <c r="B585" s="5"/>
      <c r="C585" s="5"/>
      <c r="D585" s="5"/>
      <c r="E585" s="3"/>
      <c r="F585" s="5"/>
      <c r="G585" s="5"/>
      <c r="H585" s="5"/>
      <c r="I585" s="3"/>
      <c r="J585" s="3"/>
      <c r="K585" s="3"/>
      <c r="L585" s="3"/>
      <c r="M585" s="3"/>
      <c r="N585" s="3"/>
      <c r="O585" s="3"/>
      <c r="P585" s="3"/>
      <c r="Q585" s="3"/>
      <c r="R585" s="3"/>
      <c r="S585" s="3"/>
      <c r="T585" s="3"/>
      <c r="U585" s="3"/>
      <c r="V585" s="3"/>
      <c r="W585" s="3"/>
      <c r="X585" s="3"/>
      <c r="Y585" s="3"/>
    </row>
    <row r="586">
      <c r="A586" s="5"/>
      <c r="B586" s="5"/>
      <c r="C586" s="5"/>
      <c r="D586" s="5"/>
      <c r="E586" s="3"/>
      <c r="F586" s="5"/>
      <c r="G586" s="5"/>
      <c r="H586" s="5"/>
      <c r="I586" s="3"/>
      <c r="J586" s="3"/>
      <c r="K586" s="3"/>
      <c r="L586" s="3"/>
      <c r="M586" s="3"/>
      <c r="N586" s="3"/>
      <c r="O586" s="3"/>
      <c r="P586" s="3"/>
      <c r="Q586" s="3"/>
      <c r="R586" s="3"/>
      <c r="S586" s="3"/>
      <c r="T586" s="3"/>
      <c r="U586" s="3"/>
      <c r="V586" s="3"/>
      <c r="W586" s="3"/>
      <c r="X586" s="3"/>
      <c r="Y586" s="3"/>
    </row>
    <row r="587">
      <c r="A587" s="5"/>
      <c r="B587" s="5"/>
      <c r="C587" s="5"/>
      <c r="D587" s="5"/>
      <c r="E587" s="3"/>
      <c r="F587" s="5"/>
      <c r="G587" s="5"/>
      <c r="H587" s="5"/>
      <c r="I587" s="3"/>
      <c r="J587" s="3"/>
      <c r="K587" s="3"/>
      <c r="L587" s="3"/>
      <c r="M587" s="3"/>
      <c r="N587" s="3"/>
      <c r="O587" s="3"/>
      <c r="P587" s="3"/>
      <c r="Q587" s="3"/>
      <c r="R587" s="3"/>
      <c r="S587" s="3"/>
      <c r="T587" s="3"/>
      <c r="U587" s="3"/>
      <c r="V587" s="3"/>
      <c r="W587" s="3"/>
      <c r="X587" s="3"/>
      <c r="Y587" s="3"/>
    </row>
    <row r="588">
      <c r="A588" s="5"/>
      <c r="B588" s="5"/>
      <c r="C588" s="5"/>
      <c r="D588" s="5"/>
      <c r="E588" s="3"/>
      <c r="F588" s="5"/>
      <c r="G588" s="5"/>
      <c r="H588" s="5"/>
      <c r="I588" s="3"/>
      <c r="J588" s="3"/>
      <c r="K588" s="3"/>
      <c r="L588" s="3"/>
      <c r="M588" s="3"/>
      <c r="N588" s="3"/>
      <c r="O588" s="3"/>
      <c r="P588" s="3"/>
      <c r="Q588" s="3"/>
      <c r="R588" s="3"/>
      <c r="S588" s="3"/>
      <c r="T588" s="3"/>
      <c r="U588" s="3"/>
      <c r="V588" s="3"/>
      <c r="W588" s="3"/>
      <c r="X588" s="3"/>
      <c r="Y588" s="3"/>
    </row>
    <row r="589">
      <c r="A589" s="5"/>
      <c r="B589" s="5"/>
      <c r="C589" s="5"/>
      <c r="D589" s="5"/>
      <c r="E589" s="3"/>
      <c r="F589" s="5"/>
      <c r="G589" s="5"/>
      <c r="H589" s="5"/>
      <c r="I589" s="3"/>
      <c r="J589" s="3"/>
      <c r="K589" s="3"/>
      <c r="L589" s="3"/>
      <c r="M589" s="3"/>
      <c r="N589" s="3"/>
      <c r="O589" s="3"/>
      <c r="P589" s="3"/>
      <c r="Q589" s="3"/>
      <c r="R589" s="3"/>
      <c r="S589" s="3"/>
      <c r="T589" s="3"/>
      <c r="U589" s="3"/>
      <c r="V589" s="3"/>
      <c r="W589" s="3"/>
      <c r="X589" s="3"/>
      <c r="Y589" s="3"/>
    </row>
    <row r="590">
      <c r="A590" s="5"/>
      <c r="B590" s="5"/>
      <c r="C590" s="5"/>
      <c r="D590" s="5"/>
      <c r="E590" s="3"/>
      <c r="F590" s="5"/>
      <c r="G590" s="5"/>
      <c r="H590" s="5"/>
      <c r="I590" s="3"/>
      <c r="J590" s="3"/>
      <c r="K590" s="3"/>
      <c r="L590" s="3"/>
      <c r="M590" s="3"/>
      <c r="N590" s="3"/>
      <c r="O590" s="3"/>
      <c r="P590" s="3"/>
      <c r="Q590" s="3"/>
      <c r="R590" s="3"/>
      <c r="S590" s="3"/>
      <c r="T590" s="3"/>
      <c r="U590" s="3"/>
      <c r="V590" s="3"/>
      <c r="W590" s="3"/>
      <c r="X590" s="3"/>
      <c r="Y590" s="3"/>
    </row>
    <row r="591">
      <c r="A591" s="5"/>
      <c r="B591" s="5"/>
      <c r="C591" s="5"/>
      <c r="D591" s="5"/>
      <c r="E591" s="3"/>
      <c r="F591" s="5"/>
      <c r="G591" s="5"/>
      <c r="H591" s="5"/>
      <c r="I591" s="3"/>
      <c r="J591" s="3"/>
      <c r="K591" s="3"/>
      <c r="L591" s="3"/>
      <c r="M591" s="3"/>
      <c r="N591" s="3"/>
      <c r="O591" s="3"/>
      <c r="P591" s="3"/>
      <c r="Q591" s="3"/>
      <c r="R591" s="3"/>
      <c r="S591" s="3"/>
      <c r="T591" s="3"/>
      <c r="U591" s="3"/>
      <c r="V591" s="3"/>
      <c r="W591" s="3"/>
      <c r="X591" s="3"/>
      <c r="Y591" s="3"/>
    </row>
    <row r="592">
      <c r="A592" s="5"/>
      <c r="B592" s="5"/>
      <c r="C592" s="5"/>
      <c r="D592" s="5"/>
      <c r="E592" s="3"/>
      <c r="F592" s="5"/>
      <c r="G592" s="5"/>
      <c r="H592" s="5"/>
      <c r="I592" s="3"/>
      <c r="J592" s="3"/>
      <c r="K592" s="3"/>
      <c r="L592" s="3"/>
      <c r="M592" s="3"/>
      <c r="N592" s="3"/>
      <c r="O592" s="3"/>
      <c r="P592" s="3"/>
      <c r="Q592" s="3"/>
      <c r="R592" s="3"/>
      <c r="S592" s="3"/>
      <c r="T592" s="3"/>
      <c r="U592" s="3"/>
      <c r="V592" s="3"/>
      <c r="W592" s="3"/>
      <c r="X592" s="3"/>
      <c r="Y592" s="3"/>
    </row>
    <row r="593">
      <c r="A593" s="5"/>
      <c r="B593" s="5"/>
      <c r="C593" s="5"/>
      <c r="D593" s="5"/>
      <c r="E593" s="3"/>
      <c r="F593" s="5"/>
      <c r="G593" s="5"/>
      <c r="H593" s="5"/>
      <c r="I593" s="3"/>
      <c r="J593" s="3"/>
      <c r="K593" s="3"/>
      <c r="L593" s="3"/>
      <c r="M593" s="3"/>
      <c r="N593" s="3"/>
      <c r="O593" s="3"/>
      <c r="P593" s="3"/>
      <c r="Q593" s="3"/>
      <c r="R593" s="3"/>
      <c r="S593" s="3"/>
      <c r="T593" s="3"/>
      <c r="U593" s="3"/>
      <c r="V593" s="3"/>
      <c r="W593" s="3"/>
      <c r="X593" s="3"/>
      <c r="Y593" s="3"/>
    </row>
    <row r="594">
      <c r="A594" s="5"/>
      <c r="B594" s="5"/>
      <c r="C594" s="5"/>
      <c r="D594" s="5"/>
      <c r="E594" s="3"/>
      <c r="F594" s="5"/>
      <c r="G594" s="5"/>
      <c r="H594" s="5"/>
      <c r="I594" s="3"/>
      <c r="J594" s="3"/>
      <c r="K594" s="3"/>
      <c r="L594" s="3"/>
      <c r="M594" s="3"/>
      <c r="N594" s="3"/>
      <c r="O594" s="3"/>
      <c r="P594" s="3"/>
      <c r="Q594" s="3"/>
      <c r="R594" s="3"/>
      <c r="S594" s="3"/>
      <c r="T594" s="3"/>
      <c r="U594" s="3"/>
      <c r="V594" s="3"/>
      <c r="W594" s="3"/>
      <c r="X594" s="3"/>
      <c r="Y594" s="3"/>
    </row>
    <row r="595">
      <c r="A595" s="5"/>
      <c r="B595" s="5"/>
      <c r="C595" s="5"/>
      <c r="D595" s="5"/>
      <c r="E595" s="3"/>
      <c r="F595" s="5"/>
      <c r="G595" s="5"/>
      <c r="H595" s="5"/>
      <c r="I595" s="3"/>
      <c r="J595" s="3"/>
      <c r="K595" s="3"/>
      <c r="L595" s="3"/>
      <c r="M595" s="3"/>
      <c r="N595" s="3"/>
      <c r="O595" s="3"/>
      <c r="P595" s="3"/>
      <c r="Q595" s="3"/>
      <c r="R595" s="3"/>
      <c r="S595" s="3"/>
      <c r="T595" s="3"/>
      <c r="U595" s="3"/>
      <c r="V595" s="3"/>
      <c r="W595" s="3"/>
      <c r="X595" s="3"/>
      <c r="Y595" s="3"/>
    </row>
    <row r="596">
      <c r="A596" s="5"/>
      <c r="B596" s="5"/>
      <c r="C596" s="5"/>
      <c r="D596" s="5"/>
      <c r="E596" s="3"/>
      <c r="F596" s="5"/>
      <c r="G596" s="5"/>
      <c r="H596" s="5"/>
      <c r="I596" s="3"/>
      <c r="J596" s="3"/>
      <c r="K596" s="3"/>
      <c r="L596" s="3"/>
      <c r="M596" s="3"/>
      <c r="N596" s="3"/>
      <c r="O596" s="3"/>
      <c r="P596" s="3"/>
      <c r="Q596" s="3"/>
      <c r="R596" s="3"/>
      <c r="S596" s="3"/>
      <c r="T596" s="3"/>
      <c r="U596" s="3"/>
      <c r="V596" s="3"/>
      <c r="W596" s="3"/>
      <c r="X596" s="3"/>
      <c r="Y596" s="3"/>
    </row>
    <row r="597">
      <c r="A597" s="5"/>
      <c r="B597" s="5"/>
      <c r="C597" s="5"/>
      <c r="D597" s="5"/>
      <c r="E597" s="3"/>
      <c r="F597" s="5"/>
      <c r="G597" s="5"/>
      <c r="H597" s="5"/>
      <c r="I597" s="3"/>
      <c r="J597" s="3"/>
      <c r="K597" s="3"/>
      <c r="L597" s="3"/>
      <c r="M597" s="3"/>
      <c r="N597" s="3"/>
      <c r="O597" s="3"/>
      <c r="P597" s="3"/>
      <c r="Q597" s="3"/>
      <c r="R597" s="3"/>
      <c r="S597" s="3"/>
      <c r="T597" s="3"/>
      <c r="U597" s="3"/>
      <c r="V597" s="3"/>
      <c r="W597" s="3"/>
      <c r="X597" s="3"/>
      <c r="Y597" s="3"/>
    </row>
    <row r="598">
      <c r="A598" s="5"/>
      <c r="B598" s="5"/>
      <c r="C598" s="5"/>
      <c r="D598" s="5"/>
      <c r="E598" s="3"/>
      <c r="F598" s="5"/>
      <c r="G598" s="5"/>
      <c r="H598" s="5"/>
      <c r="I598" s="3"/>
      <c r="J598" s="3"/>
      <c r="K598" s="3"/>
      <c r="L598" s="3"/>
      <c r="M598" s="3"/>
      <c r="N598" s="3"/>
      <c r="O598" s="3"/>
      <c r="P598" s="3"/>
      <c r="Q598" s="3"/>
      <c r="R598" s="3"/>
      <c r="S598" s="3"/>
      <c r="T598" s="3"/>
      <c r="U598" s="3"/>
      <c r="V598" s="3"/>
      <c r="W598" s="3"/>
      <c r="X598" s="3"/>
      <c r="Y598" s="3"/>
    </row>
    <row r="599">
      <c r="A599" s="5"/>
      <c r="B599" s="5"/>
      <c r="C599" s="5"/>
      <c r="D599" s="5"/>
      <c r="E599" s="3"/>
      <c r="F599" s="5"/>
      <c r="G599" s="5"/>
      <c r="H599" s="5"/>
      <c r="I599" s="3"/>
      <c r="J599" s="3"/>
      <c r="K599" s="3"/>
      <c r="L599" s="3"/>
      <c r="M599" s="3"/>
      <c r="N599" s="3"/>
      <c r="O599" s="3"/>
      <c r="P599" s="3"/>
      <c r="Q599" s="3"/>
      <c r="R599" s="3"/>
      <c r="S599" s="3"/>
      <c r="T599" s="3"/>
      <c r="U599" s="3"/>
      <c r="V599" s="3"/>
      <c r="W599" s="3"/>
      <c r="X599" s="3"/>
      <c r="Y599" s="3"/>
    </row>
    <row r="600">
      <c r="A600" s="5"/>
      <c r="B600" s="5"/>
      <c r="C600" s="5"/>
      <c r="D600" s="5"/>
      <c r="E600" s="3"/>
      <c r="F600" s="5"/>
      <c r="G600" s="5"/>
      <c r="H600" s="5"/>
      <c r="I600" s="3"/>
      <c r="J600" s="3"/>
      <c r="K600" s="3"/>
      <c r="L600" s="3"/>
      <c r="M600" s="3"/>
      <c r="N600" s="3"/>
      <c r="O600" s="3"/>
      <c r="P600" s="3"/>
      <c r="Q600" s="3"/>
      <c r="R600" s="3"/>
      <c r="S600" s="3"/>
      <c r="T600" s="3"/>
      <c r="U600" s="3"/>
      <c r="V600" s="3"/>
      <c r="W600" s="3"/>
      <c r="X600" s="3"/>
      <c r="Y600" s="3"/>
    </row>
    <row r="601">
      <c r="A601" s="5"/>
      <c r="B601" s="5"/>
      <c r="C601" s="5"/>
      <c r="D601" s="5"/>
      <c r="E601" s="3"/>
      <c r="F601" s="5"/>
      <c r="G601" s="5"/>
      <c r="H601" s="5"/>
      <c r="I601" s="3"/>
      <c r="J601" s="3"/>
      <c r="K601" s="3"/>
      <c r="L601" s="3"/>
      <c r="M601" s="3"/>
      <c r="N601" s="3"/>
      <c r="O601" s="3"/>
      <c r="P601" s="3"/>
      <c r="Q601" s="3"/>
      <c r="R601" s="3"/>
      <c r="S601" s="3"/>
      <c r="T601" s="3"/>
      <c r="U601" s="3"/>
      <c r="V601" s="3"/>
      <c r="W601" s="3"/>
      <c r="X601" s="3"/>
      <c r="Y601" s="3"/>
    </row>
    <row r="602">
      <c r="A602" s="5"/>
      <c r="B602" s="5"/>
      <c r="C602" s="5"/>
      <c r="D602" s="5"/>
      <c r="E602" s="3"/>
      <c r="F602" s="5"/>
      <c r="G602" s="5"/>
      <c r="H602" s="5"/>
      <c r="I602" s="3"/>
      <c r="J602" s="3"/>
      <c r="K602" s="3"/>
      <c r="L602" s="3"/>
      <c r="M602" s="3"/>
      <c r="N602" s="3"/>
      <c r="O602" s="3"/>
      <c r="P602" s="3"/>
      <c r="Q602" s="3"/>
      <c r="R602" s="3"/>
      <c r="S602" s="3"/>
      <c r="T602" s="3"/>
      <c r="U602" s="3"/>
      <c r="V602" s="3"/>
      <c r="W602" s="3"/>
      <c r="X602" s="3"/>
      <c r="Y602" s="3"/>
    </row>
    <row r="603">
      <c r="A603" s="5"/>
      <c r="B603" s="5"/>
      <c r="C603" s="5"/>
      <c r="D603" s="5"/>
      <c r="E603" s="3"/>
      <c r="F603" s="5"/>
      <c r="G603" s="5"/>
      <c r="H603" s="5"/>
      <c r="I603" s="3"/>
      <c r="J603" s="3"/>
      <c r="K603" s="3"/>
      <c r="L603" s="3"/>
      <c r="M603" s="3"/>
      <c r="N603" s="3"/>
      <c r="O603" s="3"/>
      <c r="P603" s="3"/>
      <c r="Q603" s="3"/>
      <c r="R603" s="3"/>
      <c r="S603" s="3"/>
      <c r="T603" s="3"/>
      <c r="U603" s="3"/>
      <c r="V603" s="3"/>
      <c r="W603" s="3"/>
      <c r="X603" s="3"/>
      <c r="Y603" s="3"/>
    </row>
    <row r="604">
      <c r="A604" s="5"/>
      <c r="B604" s="5"/>
      <c r="C604" s="5"/>
      <c r="D604" s="5"/>
      <c r="E604" s="3"/>
      <c r="F604" s="5"/>
      <c r="G604" s="5"/>
      <c r="H604" s="5"/>
      <c r="I604" s="3"/>
      <c r="J604" s="3"/>
      <c r="K604" s="3"/>
      <c r="L604" s="3"/>
      <c r="M604" s="3"/>
      <c r="N604" s="3"/>
      <c r="O604" s="3"/>
      <c r="P604" s="3"/>
      <c r="Q604" s="3"/>
      <c r="R604" s="3"/>
      <c r="S604" s="3"/>
      <c r="T604" s="3"/>
      <c r="U604" s="3"/>
      <c r="V604" s="3"/>
      <c r="W604" s="3"/>
      <c r="X604" s="3"/>
      <c r="Y604" s="3"/>
    </row>
    <row r="605">
      <c r="A605" s="5"/>
      <c r="B605" s="5"/>
      <c r="C605" s="5"/>
      <c r="D605" s="5"/>
      <c r="E605" s="3"/>
      <c r="F605" s="5"/>
      <c r="G605" s="5"/>
      <c r="H605" s="5"/>
      <c r="I605" s="3"/>
      <c r="J605" s="3"/>
      <c r="K605" s="3"/>
      <c r="L605" s="3"/>
      <c r="M605" s="3"/>
      <c r="N605" s="3"/>
      <c r="O605" s="3"/>
      <c r="P605" s="3"/>
      <c r="Q605" s="3"/>
      <c r="R605" s="3"/>
      <c r="S605" s="3"/>
      <c r="T605" s="3"/>
      <c r="U605" s="3"/>
      <c r="V605" s="3"/>
      <c r="W605" s="3"/>
      <c r="X605" s="3"/>
      <c r="Y605" s="3"/>
    </row>
    <row r="606">
      <c r="A606" s="5"/>
      <c r="B606" s="5"/>
      <c r="C606" s="5"/>
      <c r="D606" s="5"/>
      <c r="E606" s="3"/>
      <c r="F606" s="5"/>
      <c r="G606" s="5"/>
      <c r="H606" s="5"/>
      <c r="I606" s="3"/>
      <c r="J606" s="3"/>
      <c r="K606" s="3"/>
      <c r="L606" s="3"/>
      <c r="M606" s="3"/>
      <c r="N606" s="3"/>
      <c r="O606" s="3"/>
      <c r="P606" s="3"/>
      <c r="Q606" s="3"/>
      <c r="R606" s="3"/>
      <c r="S606" s="3"/>
      <c r="T606" s="3"/>
      <c r="U606" s="3"/>
      <c r="V606" s="3"/>
      <c r="W606" s="3"/>
      <c r="X606" s="3"/>
      <c r="Y606" s="3"/>
    </row>
    <row r="607">
      <c r="A607" s="5"/>
      <c r="B607" s="5"/>
      <c r="C607" s="5"/>
      <c r="D607" s="5"/>
      <c r="E607" s="3"/>
      <c r="F607" s="5"/>
      <c r="G607" s="5"/>
      <c r="H607" s="5"/>
      <c r="I607" s="3"/>
      <c r="J607" s="3"/>
      <c r="K607" s="3"/>
      <c r="L607" s="3"/>
      <c r="M607" s="3"/>
      <c r="N607" s="3"/>
      <c r="O607" s="3"/>
      <c r="P607" s="3"/>
      <c r="Q607" s="3"/>
      <c r="R607" s="3"/>
      <c r="S607" s="3"/>
      <c r="T607" s="3"/>
      <c r="U607" s="3"/>
      <c r="V607" s="3"/>
      <c r="W607" s="3"/>
      <c r="X607" s="3"/>
      <c r="Y607" s="3"/>
    </row>
    <row r="608">
      <c r="A608" s="5"/>
      <c r="B608" s="5"/>
      <c r="C608" s="5"/>
      <c r="D608" s="5"/>
      <c r="E608" s="3"/>
      <c r="F608" s="5"/>
      <c r="G608" s="5"/>
      <c r="H608" s="5"/>
      <c r="I608" s="3"/>
      <c r="J608" s="3"/>
      <c r="K608" s="3"/>
      <c r="L608" s="3"/>
      <c r="M608" s="3"/>
      <c r="N608" s="3"/>
      <c r="O608" s="3"/>
      <c r="P608" s="3"/>
      <c r="Q608" s="3"/>
      <c r="R608" s="3"/>
      <c r="S608" s="3"/>
      <c r="T608" s="3"/>
      <c r="U608" s="3"/>
      <c r="V608" s="3"/>
      <c r="W608" s="3"/>
      <c r="X608" s="3"/>
      <c r="Y608" s="3"/>
    </row>
    <row r="609">
      <c r="A609" s="5"/>
      <c r="B609" s="5"/>
      <c r="C609" s="5"/>
      <c r="D609" s="5"/>
      <c r="E609" s="3"/>
      <c r="F609" s="5"/>
      <c r="G609" s="5"/>
      <c r="H609" s="5"/>
      <c r="I609" s="3"/>
      <c r="J609" s="3"/>
      <c r="K609" s="3"/>
      <c r="L609" s="3"/>
      <c r="M609" s="3"/>
      <c r="N609" s="3"/>
      <c r="O609" s="3"/>
      <c r="P609" s="3"/>
      <c r="Q609" s="3"/>
      <c r="R609" s="3"/>
      <c r="S609" s="3"/>
      <c r="T609" s="3"/>
      <c r="U609" s="3"/>
      <c r="V609" s="3"/>
      <c r="W609" s="3"/>
      <c r="X609" s="3"/>
      <c r="Y609" s="3"/>
    </row>
    <row r="610">
      <c r="A610" s="5"/>
      <c r="B610" s="5"/>
      <c r="C610" s="5"/>
      <c r="D610" s="5"/>
      <c r="E610" s="3"/>
      <c r="F610" s="5"/>
      <c r="G610" s="5"/>
      <c r="H610" s="5"/>
      <c r="I610" s="3"/>
      <c r="J610" s="3"/>
      <c r="K610" s="3"/>
      <c r="L610" s="3"/>
      <c r="M610" s="3"/>
      <c r="N610" s="3"/>
      <c r="O610" s="3"/>
      <c r="P610" s="3"/>
      <c r="Q610" s="3"/>
      <c r="R610" s="3"/>
      <c r="S610" s="3"/>
      <c r="T610" s="3"/>
      <c r="U610" s="3"/>
      <c r="V610" s="3"/>
      <c r="W610" s="3"/>
      <c r="X610" s="3"/>
      <c r="Y610" s="3"/>
    </row>
    <row r="611">
      <c r="A611" s="5"/>
      <c r="B611" s="5"/>
      <c r="C611" s="5"/>
      <c r="D611" s="5"/>
      <c r="E611" s="3"/>
      <c r="F611" s="5"/>
      <c r="G611" s="5"/>
      <c r="H611" s="5"/>
      <c r="I611" s="3"/>
      <c r="J611" s="3"/>
      <c r="K611" s="3"/>
      <c r="L611" s="3"/>
      <c r="M611" s="3"/>
      <c r="N611" s="3"/>
      <c r="O611" s="3"/>
      <c r="P611" s="3"/>
      <c r="Q611" s="3"/>
      <c r="R611" s="3"/>
      <c r="S611" s="3"/>
      <c r="T611" s="3"/>
      <c r="U611" s="3"/>
      <c r="V611" s="3"/>
      <c r="W611" s="3"/>
      <c r="X611" s="3"/>
      <c r="Y611" s="3"/>
    </row>
    <row r="612">
      <c r="A612" s="5"/>
      <c r="B612" s="5"/>
      <c r="C612" s="5"/>
      <c r="D612" s="5"/>
      <c r="E612" s="3"/>
      <c r="F612" s="5"/>
      <c r="G612" s="5"/>
      <c r="H612" s="5"/>
      <c r="I612" s="3"/>
      <c r="J612" s="3"/>
      <c r="K612" s="3"/>
      <c r="L612" s="3"/>
      <c r="M612" s="3"/>
      <c r="N612" s="3"/>
      <c r="O612" s="3"/>
      <c r="P612" s="3"/>
      <c r="Q612" s="3"/>
      <c r="R612" s="3"/>
      <c r="S612" s="3"/>
      <c r="T612" s="3"/>
      <c r="U612" s="3"/>
      <c r="V612" s="3"/>
      <c r="W612" s="3"/>
      <c r="X612" s="3"/>
      <c r="Y612" s="3"/>
    </row>
    <row r="613">
      <c r="A613" s="5"/>
      <c r="B613" s="5"/>
      <c r="C613" s="5"/>
      <c r="D613" s="5"/>
      <c r="E613" s="3"/>
      <c r="F613" s="5"/>
      <c r="G613" s="5"/>
      <c r="H613" s="5"/>
      <c r="I613" s="3"/>
      <c r="J613" s="3"/>
      <c r="K613" s="3"/>
      <c r="L613" s="3"/>
      <c r="M613" s="3"/>
      <c r="N613" s="3"/>
      <c r="O613" s="3"/>
      <c r="P613" s="3"/>
      <c r="Q613" s="3"/>
      <c r="R613" s="3"/>
      <c r="S613" s="3"/>
      <c r="T613" s="3"/>
      <c r="U613" s="3"/>
      <c r="V613" s="3"/>
      <c r="W613" s="3"/>
      <c r="X613" s="3"/>
      <c r="Y613" s="3"/>
    </row>
    <row r="614">
      <c r="A614" s="5"/>
      <c r="B614" s="5"/>
      <c r="C614" s="5"/>
      <c r="D614" s="5"/>
      <c r="E614" s="3"/>
      <c r="F614" s="5"/>
      <c r="G614" s="5"/>
      <c r="H614" s="5"/>
      <c r="I614" s="3"/>
      <c r="J614" s="3"/>
      <c r="K614" s="3"/>
      <c r="L614" s="3"/>
      <c r="M614" s="3"/>
      <c r="N614" s="3"/>
      <c r="O614" s="3"/>
      <c r="P614" s="3"/>
      <c r="Q614" s="3"/>
      <c r="R614" s="3"/>
      <c r="S614" s="3"/>
      <c r="T614" s="3"/>
      <c r="U614" s="3"/>
      <c r="V614" s="3"/>
      <c r="W614" s="3"/>
      <c r="X614" s="3"/>
      <c r="Y614" s="3"/>
    </row>
    <row r="615">
      <c r="A615" s="5"/>
      <c r="B615" s="5"/>
      <c r="C615" s="5"/>
      <c r="D615" s="5"/>
      <c r="E615" s="3"/>
      <c r="F615" s="5"/>
      <c r="G615" s="5"/>
      <c r="H615" s="5"/>
      <c r="I615" s="3"/>
      <c r="J615" s="3"/>
      <c r="K615" s="3"/>
      <c r="L615" s="3"/>
      <c r="M615" s="3"/>
      <c r="N615" s="3"/>
      <c r="O615" s="3"/>
      <c r="P615" s="3"/>
      <c r="Q615" s="3"/>
      <c r="R615" s="3"/>
      <c r="S615" s="3"/>
      <c r="T615" s="3"/>
      <c r="U615" s="3"/>
      <c r="V615" s="3"/>
      <c r="W615" s="3"/>
      <c r="X615" s="3"/>
      <c r="Y615" s="3"/>
    </row>
    <row r="616">
      <c r="A616" s="5"/>
      <c r="B616" s="5"/>
      <c r="C616" s="5"/>
      <c r="D616" s="5"/>
      <c r="E616" s="3"/>
      <c r="F616" s="5"/>
      <c r="G616" s="5"/>
      <c r="H616" s="5"/>
      <c r="I616" s="3"/>
      <c r="J616" s="3"/>
      <c r="K616" s="3"/>
      <c r="L616" s="3"/>
      <c r="M616" s="3"/>
      <c r="N616" s="3"/>
      <c r="O616" s="3"/>
      <c r="P616" s="3"/>
      <c r="Q616" s="3"/>
      <c r="R616" s="3"/>
      <c r="S616" s="3"/>
      <c r="T616" s="3"/>
      <c r="U616" s="3"/>
      <c r="V616" s="3"/>
      <c r="W616" s="3"/>
      <c r="X616" s="3"/>
      <c r="Y616" s="3"/>
    </row>
    <row r="617">
      <c r="A617" s="5"/>
      <c r="B617" s="5"/>
      <c r="C617" s="5"/>
      <c r="D617" s="5"/>
      <c r="E617" s="3"/>
      <c r="F617" s="5"/>
      <c r="G617" s="5"/>
      <c r="H617" s="5"/>
      <c r="I617" s="3"/>
      <c r="J617" s="3"/>
      <c r="K617" s="3"/>
      <c r="L617" s="3"/>
      <c r="M617" s="3"/>
      <c r="N617" s="3"/>
      <c r="O617" s="3"/>
      <c r="P617" s="3"/>
      <c r="Q617" s="3"/>
      <c r="R617" s="3"/>
      <c r="S617" s="3"/>
      <c r="T617" s="3"/>
      <c r="U617" s="3"/>
      <c r="V617" s="3"/>
      <c r="W617" s="3"/>
      <c r="X617" s="3"/>
      <c r="Y617" s="3"/>
    </row>
    <row r="618">
      <c r="A618" s="5"/>
      <c r="B618" s="5"/>
      <c r="C618" s="5"/>
      <c r="D618" s="5"/>
      <c r="E618" s="3"/>
      <c r="F618" s="5"/>
      <c r="G618" s="5"/>
      <c r="H618" s="5"/>
      <c r="I618" s="3"/>
      <c r="J618" s="3"/>
      <c r="K618" s="3"/>
      <c r="L618" s="3"/>
      <c r="M618" s="3"/>
      <c r="N618" s="3"/>
      <c r="O618" s="3"/>
      <c r="P618" s="3"/>
      <c r="Q618" s="3"/>
      <c r="R618" s="3"/>
      <c r="S618" s="3"/>
      <c r="T618" s="3"/>
      <c r="U618" s="3"/>
      <c r="V618" s="3"/>
      <c r="W618" s="3"/>
      <c r="X618" s="3"/>
      <c r="Y618" s="3"/>
    </row>
    <row r="619">
      <c r="A619" s="5"/>
      <c r="B619" s="5"/>
      <c r="C619" s="5"/>
      <c r="D619" s="5"/>
      <c r="E619" s="3"/>
      <c r="F619" s="5"/>
      <c r="G619" s="5"/>
      <c r="H619" s="5"/>
      <c r="I619" s="3"/>
      <c r="J619" s="3"/>
      <c r="K619" s="3"/>
      <c r="L619" s="3"/>
      <c r="M619" s="3"/>
      <c r="N619" s="3"/>
      <c r="O619" s="3"/>
      <c r="P619" s="3"/>
      <c r="Q619" s="3"/>
      <c r="R619" s="3"/>
      <c r="S619" s="3"/>
      <c r="T619" s="3"/>
      <c r="U619" s="3"/>
      <c r="V619" s="3"/>
      <c r="W619" s="3"/>
      <c r="X619" s="3"/>
      <c r="Y619" s="3"/>
    </row>
    <row r="620">
      <c r="A620" s="5"/>
      <c r="B620" s="5"/>
      <c r="C620" s="5"/>
      <c r="D620" s="5"/>
      <c r="E620" s="3"/>
      <c r="F620" s="5"/>
      <c r="G620" s="5"/>
      <c r="H620" s="5"/>
      <c r="I620" s="3"/>
      <c r="J620" s="3"/>
      <c r="K620" s="3"/>
      <c r="L620" s="3"/>
      <c r="M620" s="3"/>
      <c r="N620" s="3"/>
      <c r="O620" s="3"/>
      <c r="P620" s="3"/>
      <c r="Q620" s="3"/>
      <c r="R620" s="3"/>
      <c r="S620" s="3"/>
      <c r="T620" s="3"/>
      <c r="U620" s="3"/>
      <c r="V620" s="3"/>
      <c r="W620" s="3"/>
      <c r="X620" s="3"/>
      <c r="Y620" s="3"/>
    </row>
    <row r="621">
      <c r="A621" s="5"/>
      <c r="B621" s="5"/>
      <c r="C621" s="5"/>
      <c r="D621" s="5"/>
      <c r="E621" s="3"/>
      <c r="F621" s="5"/>
      <c r="G621" s="5"/>
      <c r="H621" s="5"/>
      <c r="I621" s="3"/>
      <c r="J621" s="3"/>
      <c r="K621" s="3"/>
      <c r="L621" s="3"/>
      <c r="M621" s="3"/>
      <c r="N621" s="3"/>
      <c r="O621" s="3"/>
      <c r="P621" s="3"/>
      <c r="Q621" s="3"/>
      <c r="R621" s="3"/>
      <c r="S621" s="3"/>
      <c r="T621" s="3"/>
      <c r="U621" s="3"/>
      <c r="V621" s="3"/>
      <c r="W621" s="3"/>
      <c r="X621" s="3"/>
      <c r="Y621" s="3"/>
    </row>
    <row r="622">
      <c r="A622" s="5"/>
      <c r="B622" s="5"/>
      <c r="C622" s="5"/>
      <c r="D622" s="5"/>
      <c r="E622" s="3"/>
      <c r="F622" s="5"/>
      <c r="G622" s="5"/>
      <c r="H622" s="5"/>
      <c r="I622" s="3"/>
      <c r="J622" s="3"/>
      <c r="K622" s="3"/>
      <c r="L622" s="3"/>
      <c r="M622" s="3"/>
      <c r="N622" s="3"/>
      <c r="O622" s="3"/>
      <c r="P622" s="3"/>
      <c r="Q622" s="3"/>
      <c r="R622" s="3"/>
      <c r="S622" s="3"/>
      <c r="T622" s="3"/>
      <c r="U622" s="3"/>
      <c r="V622" s="3"/>
      <c r="W622" s="3"/>
      <c r="X622" s="3"/>
      <c r="Y622" s="3"/>
    </row>
    <row r="623">
      <c r="A623" s="5"/>
      <c r="B623" s="5"/>
      <c r="C623" s="5"/>
      <c r="D623" s="5"/>
      <c r="E623" s="3"/>
      <c r="F623" s="5"/>
      <c r="G623" s="5"/>
      <c r="H623" s="5"/>
      <c r="I623" s="3"/>
      <c r="J623" s="3"/>
      <c r="K623" s="3"/>
      <c r="L623" s="3"/>
      <c r="M623" s="3"/>
      <c r="N623" s="3"/>
      <c r="O623" s="3"/>
      <c r="P623" s="3"/>
      <c r="Q623" s="3"/>
      <c r="R623" s="3"/>
      <c r="S623" s="3"/>
      <c r="T623" s="3"/>
      <c r="U623" s="3"/>
      <c r="V623" s="3"/>
      <c r="W623" s="3"/>
      <c r="X623" s="3"/>
      <c r="Y623" s="3"/>
    </row>
    <row r="624">
      <c r="A624" s="5"/>
      <c r="B624" s="5"/>
      <c r="C624" s="5"/>
      <c r="D624" s="5"/>
      <c r="E624" s="3"/>
      <c r="F624" s="5"/>
      <c r="G624" s="5"/>
      <c r="H624" s="5"/>
      <c r="I624" s="3"/>
      <c r="J624" s="3"/>
      <c r="K624" s="3"/>
      <c r="L624" s="3"/>
      <c r="M624" s="3"/>
      <c r="N624" s="3"/>
      <c r="O624" s="3"/>
      <c r="P624" s="3"/>
      <c r="Q624" s="3"/>
      <c r="R624" s="3"/>
      <c r="S624" s="3"/>
      <c r="T624" s="3"/>
      <c r="U624" s="3"/>
      <c r="V624" s="3"/>
      <c r="W624" s="3"/>
      <c r="X624" s="3"/>
      <c r="Y624" s="3"/>
    </row>
    <row r="625">
      <c r="A625" s="5"/>
      <c r="B625" s="5"/>
      <c r="C625" s="5"/>
      <c r="D625" s="5"/>
      <c r="E625" s="3"/>
      <c r="F625" s="5"/>
      <c r="G625" s="5"/>
      <c r="H625" s="5"/>
      <c r="I625" s="3"/>
      <c r="J625" s="3"/>
      <c r="K625" s="3"/>
      <c r="L625" s="3"/>
      <c r="M625" s="3"/>
      <c r="N625" s="3"/>
      <c r="O625" s="3"/>
      <c r="P625" s="3"/>
      <c r="Q625" s="3"/>
      <c r="R625" s="3"/>
      <c r="S625" s="3"/>
      <c r="T625" s="3"/>
      <c r="U625" s="3"/>
      <c r="V625" s="3"/>
      <c r="W625" s="3"/>
      <c r="X625" s="3"/>
      <c r="Y625" s="3"/>
    </row>
    <row r="626">
      <c r="A626" s="5"/>
      <c r="B626" s="5"/>
      <c r="C626" s="5"/>
      <c r="D626" s="5"/>
      <c r="E626" s="3"/>
      <c r="F626" s="5"/>
      <c r="G626" s="5"/>
      <c r="H626" s="5"/>
      <c r="I626" s="3"/>
      <c r="J626" s="3"/>
      <c r="K626" s="3"/>
      <c r="L626" s="3"/>
      <c r="M626" s="3"/>
      <c r="N626" s="3"/>
      <c r="O626" s="3"/>
      <c r="P626" s="3"/>
      <c r="Q626" s="3"/>
      <c r="R626" s="3"/>
      <c r="S626" s="3"/>
      <c r="T626" s="3"/>
      <c r="U626" s="3"/>
      <c r="V626" s="3"/>
      <c r="W626" s="3"/>
      <c r="X626" s="3"/>
      <c r="Y626" s="3"/>
    </row>
    <row r="627">
      <c r="A627" s="5"/>
      <c r="B627" s="5"/>
      <c r="C627" s="5"/>
      <c r="D627" s="5"/>
      <c r="E627" s="3"/>
      <c r="F627" s="5"/>
      <c r="G627" s="5"/>
      <c r="H627" s="5"/>
      <c r="I627" s="3"/>
      <c r="J627" s="3"/>
      <c r="K627" s="3"/>
      <c r="L627" s="3"/>
      <c r="M627" s="3"/>
      <c r="N627" s="3"/>
      <c r="O627" s="3"/>
      <c r="P627" s="3"/>
      <c r="Q627" s="3"/>
      <c r="R627" s="3"/>
      <c r="S627" s="3"/>
      <c r="T627" s="3"/>
      <c r="U627" s="3"/>
      <c r="V627" s="3"/>
      <c r="W627" s="3"/>
      <c r="X627" s="3"/>
      <c r="Y627" s="3"/>
    </row>
    <row r="628">
      <c r="A628" s="5"/>
      <c r="B628" s="5"/>
      <c r="C628" s="5"/>
      <c r="D628" s="5"/>
      <c r="E628" s="3"/>
      <c r="F628" s="5"/>
      <c r="G628" s="5"/>
      <c r="H628" s="5"/>
      <c r="I628" s="3"/>
      <c r="J628" s="3"/>
      <c r="K628" s="3"/>
      <c r="L628" s="3"/>
      <c r="M628" s="3"/>
      <c r="N628" s="3"/>
      <c r="O628" s="3"/>
      <c r="P628" s="3"/>
      <c r="Q628" s="3"/>
      <c r="R628" s="3"/>
      <c r="S628" s="3"/>
      <c r="T628" s="3"/>
      <c r="U628" s="3"/>
      <c r="V628" s="3"/>
      <c r="W628" s="3"/>
      <c r="X628" s="3"/>
      <c r="Y628" s="3"/>
    </row>
    <row r="629">
      <c r="A629" s="5"/>
      <c r="B629" s="5"/>
      <c r="C629" s="5"/>
      <c r="D629" s="5"/>
      <c r="E629" s="3"/>
      <c r="F629" s="5"/>
      <c r="G629" s="5"/>
      <c r="H629" s="5"/>
      <c r="I629" s="3"/>
      <c r="J629" s="3"/>
      <c r="K629" s="3"/>
      <c r="L629" s="3"/>
      <c r="M629" s="3"/>
      <c r="N629" s="3"/>
      <c r="O629" s="3"/>
      <c r="P629" s="3"/>
      <c r="Q629" s="3"/>
      <c r="R629" s="3"/>
      <c r="S629" s="3"/>
      <c r="T629" s="3"/>
      <c r="U629" s="3"/>
      <c r="V629" s="3"/>
      <c r="W629" s="3"/>
      <c r="X629" s="3"/>
      <c r="Y629" s="3"/>
    </row>
    <row r="630">
      <c r="A630" s="5"/>
      <c r="B630" s="5"/>
      <c r="C630" s="5"/>
      <c r="D630" s="5"/>
      <c r="E630" s="3"/>
      <c r="F630" s="5"/>
      <c r="G630" s="5"/>
      <c r="H630" s="5"/>
      <c r="I630" s="3"/>
      <c r="J630" s="3"/>
      <c r="K630" s="3"/>
      <c r="L630" s="3"/>
      <c r="M630" s="3"/>
      <c r="N630" s="3"/>
      <c r="O630" s="3"/>
      <c r="P630" s="3"/>
      <c r="Q630" s="3"/>
      <c r="R630" s="3"/>
      <c r="S630" s="3"/>
      <c r="T630" s="3"/>
      <c r="U630" s="3"/>
      <c r="V630" s="3"/>
      <c r="W630" s="3"/>
      <c r="X630" s="3"/>
      <c r="Y630" s="3"/>
    </row>
    <row r="631">
      <c r="A631" s="5"/>
      <c r="B631" s="5"/>
      <c r="C631" s="5"/>
      <c r="D631" s="5"/>
      <c r="E631" s="3"/>
      <c r="F631" s="5"/>
      <c r="G631" s="5"/>
      <c r="H631" s="5"/>
      <c r="I631" s="3"/>
      <c r="J631" s="3"/>
      <c r="K631" s="3"/>
      <c r="L631" s="3"/>
      <c r="M631" s="3"/>
      <c r="N631" s="3"/>
      <c r="O631" s="3"/>
      <c r="P631" s="3"/>
      <c r="Q631" s="3"/>
      <c r="R631" s="3"/>
      <c r="S631" s="3"/>
      <c r="T631" s="3"/>
      <c r="U631" s="3"/>
      <c r="V631" s="3"/>
      <c r="W631" s="3"/>
      <c r="X631" s="3"/>
      <c r="Y631" s="3"/>
    </row>
    <row r="632">
      <c r="A632" s="5"/>
      <c r="B632" s="5"/>
      <c r="C632" s="5"/>
      <c r="D632" s="5"/>
      <c r="E632" s="3"/>
      <c r="F632" s="5"/>
      <c r="G632" s="5"/>
      <c r="H632" s="5"/>
      <c r="I632" s="3"/>
      <c r="J632" s="3"/>
      <c r="K632" s="3"/>
      <c r="L632" s="3"/>
      <c r="M632" s="3"/>
      <c r="N632" s="3"/>
      <c r="O632" s="3"/>
      <c r="P632" s="3"/>
      <c r="Q632" s="3"/>
      <c r="R632" s="3"/>
      <c r="S632" s="3"/>
      <c r="T632" s="3"/>
      <c r="U632" s="3"/>
      <c r="V632" s="3"/>
      <c r="W632" s="3"/>
      <c r="X632" s="3"/>
      <c r="Y632" s="3"/>
    </row>
    <row r="633">
      <c r="A633" s="5"/>
      <c r="B633" s="5"/>
      <c r="C633" s="5"/>
      <c r="D633" s="5"/>
      <c r="E633" s="3"/>
      <c r="F633" s="5"/>
      <c r="G633" s="5"/>
      <c r="H633" s="5"/>
      <c r="I633" s="3"/>
      <c r="J633" s="3"/>
      <c r="K633" s="3"/>
      <c r="L633" s="3"/>
      <c r="M633" s="3"/>
      <c r="N633" s="3"/>
      <c r="O633" s="3"/>
      <c r="P633" s="3"/>
      <c r="Q633" s="3"/>
      <c r="R633" s="3"/>
      <c r="S633" s="3"/>
      <c r="T633" s="3"/>
      <c r="U633" s="3"/>
      <c r="V633" s="3"/>
      <c r="W633" s="3"/>
      <c r="X633" s="3"/>
      <c r="Y633" s="3"/>
    </row>
    <row r="634">
      <c r="A634" s="5"/>
      <c r="B634" s="5"/>
      <c r="C634" s="5"/>
      <c r="D634" s="5"/>
      <c r="E634" s="3"/>
      <c r="F634" s="5"/>
      <c r="G634" s="5"/>
      <c r="H634" s="5"/>
      <c r="I634" s="3"/>
      <c r="J634" s="3"/>
      <c r="K634" s="3"/>
      <c r="L634" s="3"/>
      <c r="M634" s="3"/>
      <c r="N634" s="3"/>
      <c r="O634" s="3"/>
      <c r="P634" s="3"/>
      <c r="Q634" s="3"/>
      <c r="R634" s="3"/>
      <c r="S634" s="3"/>
      <c r="T634" s="3"/>
      <c r="U634" s="3"/>
      <c r="V634" s="3"/>
      <c r="W634" s="3"/>
      <c r="X634" s="3"/>
      <c r="Y634" s="3"/>
    </row>
    <row r="635">
      <c r="A635" s="5"/>
      <c r="B635" s="5"/>
      <c r="C635" s="5"/>
      <c r="D635" s="5"/>
      <c r="E635" s="3"/>
      <c r="F635" s="5"/>
      <c r="G635" s="5"/>
      <c r="H635" s="5"/>
      <c r="I635" s="3"/>
      <c r="J635" s="3"/>
      <c r="K635" s="3"/>
      <c r="L635" s="3"/>
      <c r="M635" s="3"/>
      <c r="N635" s="3"/>
      <c r="O635" s="3"/>
      <c r="P635" s="3"/>
      <c r="Q635" s="3"/>
      <c r="R635" s="3"/>
      <c r="S635" s="3"/>
      <c r="T635" s="3"/>
      <c r="U635" s="3"/>
      <c r="V635" s="3"/>
      <c r="W635" s="3"/>
      <c r="X635" s="3"/>
      <c r="Y635" s="3"/>
    </row>
    <row r="636">
      <c r="A636" s="5"/>
      <c r="B636" s="5"/>
      <c r="C636" s="5"/>
      <c r="D636" s="5"/>
      <c r="E636" s="3"/>
      <c r="F636" s="5"/>
      <c r="G636" s="5"/>
      <c r="H636" s="5"/>
      <c r="I636" s="3"/>
      <c r="J636" s="3"/>
      <c r="K636" s="3"/>
      <c r="L636" s="3"/>
      <c r="M636" s="3"/>
      <c r="N636" s="3"/>
      <c r="O636" s="3"/>
      <c r="P636" s="3"/>
      <c r="Q636" s="3"/>
      <c r="R636" s="3"/>
      <c r="S636" s="3"/>
      <c r="T636" s="3"/>
      <c r="U636" s="3"/>
      <c r="V636" s="3"/>
      <c r="W636" s="3"/>
      <c r="X636" s="3"/>
      <c r="Y636" s="3"/>
    </row>
    <row r="637">
      <c r="A637" s="5"/>
      <c r="B637" s="5"/>
      <c r="C637" s="5"/>
      <c r="D637" s="5"/>
      <c r="E637" s="3"/>
      <c r="F637" s="5"/>
      <c r="G637" s="5"/>
      <c r="H637" s="5"/>
      <c r="I637" s="3"/>
      <c r="J637" s="3"/>
      <c r="K637" s="3"/>
      <c r="L637" s="3"/>
      <c r="M637" s="3"/>
      <c r="N637" s="3"/>
      <c r="O637" s="3"/>
      <c r="P637" s="3"/>
      <c r="Q637" s="3"/>
      <c r="R637" s="3"/>
      <c r="S637" s="3"/>
      <c r="T637" s="3"/>
      <c r="U637" s="3"/>
      <c r="V637" s="3"/>
      <c r="W637" s="3"/>
      <c r="X637" s="3"/>
      <c r="Y637" s="3"/>
    </row>
    <row r="638">
      <c r="A638" s="5"/>
      <c r="B638" s="5"/>
      <c r="C638" s="5"/>
      <c r="D638" s="5"/>
      <c r="E638" s="3"/>
      <c r="F638" s="5"/>
      <c r="G638" s="5"/>
      <c r="H638" s="5"/>
      <c r="I638" s="3"/>
      <c r="J638" s="3"/>
      <c r="K638" s="3"/>
      <c r="L638" s="3"/>
      <c r="M638" s="3"/>
      <c r="N638" s="3"/>
      <c r="O638" s="3"/>
      <c r="P638" s="3"/>
      <c r="Q638" s="3"/>
      <c r="R638" s="3"/>
      <c r="S638" s="3"/>
      <c r="T638" s="3"/>
      <c r="U638" s="3"/>
      <c r="V638" s="3"/>
      <c r="W638" s="3"/>
      <c r="X638" s="3"/>
      <c r="Y638" s="3"/>
    </row>
    <row r="639">
      <c r="A639" s="5"/>
      <c r="B639" s="5"/>
      <c r="C639" s="5"/>
      <c r="D639" s="5"/>
      <c r="E639" s="3"/>
      <c r="F639" s="5"/>
      <c r="G639" s="5"/>
      <c r="H639" s="5"/>
      <c r="I639" s="3"/>
      <c r="J639" s="3"/>
      <c r="K639" s="3"/>
      <c r="L639" s="3"/>
      <c r="M639" s="3"/>
      <c r="N639" s="3"/>
      <c r="O639" s="3"/>
      <c r="P639" s="3"/>
      <c r="Q639" s="3"/>
      <c r="R639" s="3"/>
      <c r="S639" s="3"/>
      <c r="T639" s="3"/>
      <c r="U639" s="3"/>
      <c r="V639" s="3"/>
      <c r="W639" s="3"/>
      <c r="X639" s="3"/>
      <c r="Y639" s="3"/>
    </row>
    <row r="640">
      <c r="A640" s="5"/>
      <c r="B640" s="5"/>
      <c r="C640" s="5"/>
      <c r="D640" s="5"/>
      <c r="E640" s="3"/>
      <c r="F640" s="5"/>
      <c r="G640" s="5"/>
      <c r="H640" s="5"/>
      <c r="I640" s="3"/>
      <c r="J640" s="3"/>
      <c r="K640" s="3"/>
      <c r="L640" s="3"/>
      <c r="M640" s="3"/>
      <c r="N640" s="3"/>
      <c r="O640" s="3"/>
      <c r="P640" s="3"/>
      <c r="Q640" s="3"/>
      <c r="R640" s="3"/>
      <c r="S640" s="3"/>
      <c r="T640" s="3"/>
      <c r="U640" s="3"/>
      <c r="V640" s="3"/>
      <c r="W640" s="3"/>
      <c r="X640" s="3"/>
      <c r="Y640" s="3"/>
    </row>
    <row r="641">
      <c r="A641" s="5"/>
      <c r="B641" s="5"/>
      <c r="C641" s="5"/>
      <c r="D641" s="5"/>
      <c r="E641" s="3"/>
      <c r="F641" s="5"/>
      <c r="G641" s="5"/>
      <c r="H641" s="5"/>
      <c r="I641" s="3"/>
      <c r="J641" s="3"/>
      <c r="K641" s="3"/>
      <c r="L641" s="3"/>
      <c r="M641" s="3"/>
      <c r="N641" s="3"/>
      <c r="O641" s="3"/>
      <c r="P641" s="3"/>
      <c r="Q641" s="3"/>
      <c r="R641" s="3"/>
      <c r="S641" s="3"/>
      <c r="T641" s="3"/>
      <c r="U641" s="3"/>
      <c r="V641" s="3"/>
      <c r="W641" s="3"/>
      <c r="X641" s="3"/>
      <c r="Y641" s="3"/>
    </row>
    <row r="642">
      <c r="A642" s="5"/>
      <c r="B642" s="5"/>
      <c r="C642" s="5"/>
      <c r="D642" s="5"/>
      <c r="E642" s="3"/>
      <c r="F642" s="5"/>
      <c r="G642" s="5"/>
      <c r="H642" s="5"/>
      <c r="I642" s="3"/>
      <c r="J642" s="3"/>
      <c r="K642" s="3"/>
      <c r="L642" s="3"/>
      <c r="M642" s="3"/>
      <c r="N642" s="3"/>
      <c r="O642" s="3"/>
      <c r="P642" s="3"/>
      <c r="Q642" s="3"/>
      <c r="R642" s="3"/>
      <c r="S642" s="3"/>
      <c r="T642" s="3"/>
      <c r="U642" s="3"/>
      <c r="V642" s="3"/>
      <c r="W642" s="3"/>
      <c r="X642" s="3"/>
      <c r="Y642" s="3"/>
    </row>
    <row r="643">
      <c r="A643" s="5"/>
      <c r="B643" s="5"/>
      <c r="C643" s="5"/>
      <c r="D643" s="5"/>
      <c r="E643" s="3"/>
      <c r="F643" s="5"/>
      <c r="G643" s="5"/>
      <c r="H643" s="5"/>
      <c r="I643" s="3"/>
      <c r="J643" s="3"/>
      <c r="K643" s="3"/>
      <c r="L643" s="3"/>
      <c r="M643" s="3"/>
      <c r="N643" s="3"/>
      <c r="O643" s="3"/>
      <c r="P643" s="3"/>
      <c r="Q643" s="3"/>
      <c r="R643" s="3"/>
      <c r="S643" s="3"/>
      <c r="T643" s="3"/>
      <c r="U643" s="3"/>
      <c r="V643" s="3"/>
      <c r="W643" s="3"/>
      <c r="X643" s="3"/>
      <c r="Y643" s="3"/>
    </row>
    <row r="644">
      <c r="A644" s="5"/>
      <c r="B644" s="5"/>
      <c r="C644" s="5"/>
      <c r="D644" s="5"/>
      <c r="E644" s="3"/>
      <c r="F644" s="5"/>
      <c r="G644" s="5"/>
      <c r="H644" s="5"/>
      <c r="I644" s="3"/>
      <c r="J644" s="3"/>
      <c r="K644" s="3"/>
      <c r="L644" s="3"/>
      <c r="M644" s="3"/>
      <c r="N644" s="3"/>
      <c r="O644" s="3"/>
      <c r="P644" s="3"/>
      <c r="Q644" s="3"/>
      <c r="R644" s="3"/>
      <c r="S644" s="3"/>
      <c r="T644" s="3"/>
      <c r="U644" s="3"/>
      <c r="V644" s="3"/>
      <c r="W644" s="3"/>
      <c r="X644" s="3"/>
      <c r="Y644" s="3"/>
    </row>
    <row r="645">
      <c r="A645" s="5"/>
      <c r="B645" s="5"/>
      <c r="C645" s="5"/>
      <c r="D645" s="5"/>
      <c r="E645" s="3"/>
      <c r="F645" s="5"/>
      <c r="G645" s="5"/>
      <c r="H645" s="5"/>
      <c r="I645" s="3"/>
      <c r="J645" s="3"/>
      <c r="K645" s="3"/>
      <c r="L645" s="3"/>
      <c r="M645" s="3"/>
      <c r="N645" s="3"/>
      <c r="O645" s="3"/>
      <c r="P645" s="3"/>
      <c r="Q645" s="3"/>
      <c r="R645" s="3"/>
      <c r="S645" s="3"/>
      <c r="T645" s="3"/>
      <c r="U645" s="3"/>
      <c r="V645" s="3"/>
      <c r="W645" s="3"/>
      <c r="X645" s="3"/>
      <c r="Y645" s="3"/>
    </row>
    <row r="646">
      <c r="A646" s="5"/>
      <c r="B646" s="5"/>
      <c r="C646" s="5"/>
      <c r="D646" s="5"/>
      <c r="E646" s="3"/>
      <c r="F646" s="5"/>
      <c r="G646" s="5"/>
      <c r="H646" s="5"/>
      <c r="I646" s="3"/>
      <c r="J646" s="3"/>
      <c r="K646" s="3"/>
      <c r="L646" s="3"/>
      <c r="M646" s="3"/>
      <c r="N646" s="3"/>
      <c r="O646" s="3"/>
      <c r="P646" s="3"/>
      <c r="Q646" s="3"/>
      <c r="R646" s="3"/>
      <c r="S646" s="3"/>
      <c r="T646" s="3"/>
      <c r="U646" s="3"/>
      <c r="V646" s="3"/>
      <c r="W646" s="3"/>
      <c r="X646" s="3"/>
      <c r="Y646" s="3"/>
    </row>
    <row r="647">
      <c r="A647" s="5"/>
      <c r="B647" s="5"/>
      <c r="C647" s="5"/>
      <c r="D647" s="5"/>
      <c r="E647" s="3"/>
      <c r="F647" s="5"/>
      <c r="G647" s="5"/>
      <c r="H647" s="5"/>
      <c r="I647" s="3"/>
      <c r="J647" s="3"/>
      <c r="K647" s="3"/>
      <c r="L647" s="3"/>
      <c r="M647" s="3"/>
      <c r="N647" s="3"/>
      <c r="O647" s="3"/>
      <c r="P647" s="3"/>
      <c r="Q647" s="3"/>
      <c r="R647" s="3"/>
      <c r="S647" s="3"/>
      <c r="T647" s="3"/>
      <c r="U647" s="3"/>
      <c r="V647" s="3"/>
      <c r="W647" s="3"/>
      <c r="X647" s="3"/>
      <c r="Y647" s="3"/>
    </row>
    <row r="648">
      <c r="A648" s="5"/>
      <c r="B648" s="5"/>
      <c r="C648" s="5"/>
      <c r="D648" s="5"/>
      <c r="E648" s="3"/>
      <c r="F648" s="5"/>
      <c r="G648" s="5"/>
      <c r="H648" s="5"/>
      <c r="I648" s="3"/>
      <c r="J648" s="3"/>
      <c r="K648" s="3"/>
      <c r="L648" s="3"/>
      <c r="M648" s="3"/>
      <c r="N648" s="3"/>
      <c r="O648" s="3"/>
      <c r="P648" s="3"/>
      <c r="Q648" s="3"/>
      <c r="R648" s="3"/>
      <c r="S648" s="3"/>
      <c r="T648" s="3"/>
      <c r="U648" s="3"/>
      <c r="V648" s="3"/>
      <c r="W648" s="3"/>
      <c r="X648" s="3"/>
      <c r="Y648" s="3"/>
    </row>
    <row r="649">
      <c r="A649" s="5"/>
      <c r="B649" s="5"/>
      <c r="C649" s="5"/>
      <c r="D649" s="5"/>
      <c r="E649" s="3"/>
      <c r="F649" s="5"/>
      <c r="G649" s="5"/>
      <c r="H649" s="5"/>
      <c r="I649" s="3"/>
      <c r="J649" s="3"/>
      <c r="K649" s="3"/>
      <c r="L649" s="3"/>
      <c r="M649" s="3"/>
      <c r="N649" s="3"/>
      <c r="O649" s="3"/>
      <c r="P649" s="3"/>
      <c r="Q649" s="3"/>
      <c r="R649" s="3"/>
      <c r="S649" s="3"/>
      <c r="T649" s="3"/>
      <c r="U649" s="3"/>
      <c r="V649" s="3"/>
      <c r="W649" s="3"/>
      <c r="X649" s="3"/>
      <c r="Y649" s="3"/>
    </row>
    <row r="650">
      <c r="A650" s="5"/>
      <c r="B650" s="5"/>
      <c r="C650" s="5"/>
      <c r="D650" s="5"/>
      <c r="E650" s="3"/>
      <c r="F650" s="5"/>
      <c r="G650" s="5"/>
      <c r="H650" s="5"/>
      <c r="I650" s="3"/>
      <c r="J650" s="3"/>
      <c r="K650" s="3"/>
      <c r="L650" s="3"/>
      <c r="M650" s="3"/>
      <c r="N650" s="3"/>
      <c r="O650" s="3"/>
      <c r="P650" s="3"/>
      <c r="Q650" s="3"/>
      <c r="R650" s="3"/>
      <c r="S650" s="3"/>
      <c r="T650" s="3"/>
      <c r="U650" s="3"/>
      <c r="V650" s="3"/>
      <c r="W650" s="3"/>
      <c r="X650" s="3"/>
      <c r="Y650" s="3"/>
    </row>
    <row r="651">
      <c r="A651" s="5"/>
      <c r="B651" s="5"/>
      <c r="C651" s="5"/>
      <c r="D651" s="5"/>
      <c r="E651" s="3"/>
      <c r="F651" s="5"/>
      <c r="G651" s="5"/>
      <c r="H651" s="5"/>
      <c r="I651" s="3"/>
      <c r="J651" s="3"/>
      <c r="K651" s="3"/>
      <c r="L651" s="3"/>
      <c r="M651" s="3"/>
      <c r="N651" s="3"/>
      <c r="O651" s="3"/>
      <c r="P651" s="3"/>
      <c r="Q651" s="3"/>
      <c r="R651" s="3"/>
      <c r="S651" s="3"/>
      <c r="T651" s="3"/>
      <c r="U651" s="3"/>
      <c r="V651" s="3"/>
      <c r="W651" s="3"/>
      <c r="X651" s="3"/>
      <c r="Y651" s="3"/>
    </row>
    <row r="652">
      <c r="A652" s="5"/>
      <c r="B652" s="5"/>
      <c r="C652" s="5"/>
      <c r="D652" s="5"/>
      <c r="E652" s="3"/>
      <c r="F652" s="5"/>
      <c r="G652" s="5"/>
      <c r="H652" s="5"/>
      <c r="I652" s="3"/>
      <c r="J652" s="3"/>
      <c r="K652" s="3"/>
      <c r="L652" s="3"/>
      <c r="M652" s="3"/>
      <c r="N652" s="3"/>
      <c r="O652" s="3"/>
      <c r="P652" s="3"/>
      <c r="Q652" s="3"/>
      <c r="R652" s="3"/>
      <c r="S652" s="3"/>
      <c r="T652" s="3"/>
      <c r="U652" s="3"/>
      <c r="V652" s="3"/>
      <c r="W652" s="3"/>
      <c r="X652" s="3"/>
      <c r="Y652" s="3"/>
    </row>
    <row r="653">
      <c r="A653" s="5"/>
      <c r="B653" s="5"/>
      <c r="C653" s="5"/>
      <c r="D653" s="5"/>
      <c r="E653" s="3"/>
      <c r="F653" s="5"/>
      <c r="G653" s="5"/>
      <c r="H653" s="5"/>
      <c r="I653" s="3"/>
      <c r="J653" s="3"/>
      <c r="K653" s="3"/>
      <c r="L653" s="3"/>
      <c r="M653" s="3"/>
      <c r="N653" s="3"/>
      <c r="O653" s="3"/>
      <c r="P653" s="3"/>
      <c r="Q653" s="3"/>
      <c r="R653" s="3"/>
      <c r="S653" s="3"/>
      <c r="T653" s="3"/>
      <c r="U653" s="3"/>
      <c r="V653" s="3"/>
      <c r="W653" s="3"/>
      <c r="X653" s="3"/>
      <c r="Y653" s="3"/>
    </row>
    <row r="654">
      <c r="A654" s="5"/>
      <c r="B654" s="5"/>
      <c r="C654" s="5"/>
      <c r="D654" s="5"/>
      <c r="E654" s="3"/>
      <c r="F654" s="5"/>
      <c r="G654" s="5"/>
      <c r="H654" s="5"/>
      <c r="I654" s="3"/>
      <c r="J654" s="3"/>
      <c r="K654" s="3"/>
      <c r="L654" s="3"/>
      <c r="M654" s="3"/>
      <c r="N654" s="3"/>
      <c r="O654" s="3"/>
      <c r="P654" s="3"/>
      <c r="Q654" s="3"/>
      <c r="R654" s="3"/>
      <c r="S654" s="3"/>
      <c r="T654" s="3"/>
      <c r="U654" s="3"/>
      <c r="V654" s="3"/>
      <c r="W654" s="3"/>
      <c r="X654" s="3"/>
      <c r="Y654" s="3"/>
    </row>
    <row r="655">
      <c r="A655" s="5"/>
      <c r="B655" s="5"/>
      <c r="C655" s="5"/>
      <c r="D655" s="5"/>
      <c r="E655" s="3"/>
      <c r="F655" s="5"/>
      <c r="G655" s="5"/>
      <c r="H655" s="5"/>
      <c r="I655" s="3"/>
      <c r="J655" s="3"/>
      <c r="K655" s="3"/>
      <c r="L655" s="3"/>
      <c r="M655" s="3"/>
      <c r="N655" s="3"/>
      <c r="O655" s="3"/>
      <c r="P655" s="3"/>
      <c r="Q655" s="3"/>
      <c r="R655" s="3"/>
      <c r="S655" s="3"/>
      <c r="T655" s="3"/>
      <c r="U655" s="3"/>
      <c r="V655" s="3"/>
      <c r="W655" s="3"/>
      <c r="X655" s="3"/>
      <c r="Y655" s="3"/>
    </row>
    <row r="656">
      <c r="A656" s="5"/>
      <c r="B656" s="5"/>
      <c r="C656" s="5"/>
      <c r="D656" s="5"/>
      <c r="E656" s="3"/>
      <c r="F656" s="5"/>
      <c r="G656" s="5"/>
      <c r="H656" s="5"/>
      <c r="I656" s="3"/>
      <c r="J656" s="3"/>
      <c r="K656" s="3"/>
      <c r="L656" s="3"/>
      <c r="M656" s="3"/>
      <c r="N656" s="3"/>
      <c r="O656" s="3"/>
      <c r="P656" s="3"/>
      <c r="Q656" s="3"/>
      <c r="R656" s="3"/>
      <c r="S656" s="3"/>
      <c r="T656" s="3"/>
      <c r="U656" s="3"/>
      <c r="V656" s="3"/>
      <c r="W656" s="3"/>
      <c r="X656" s="3"/>
      <c r="Y656" s="3"/>
    </row>
    <row r="657">
      <c r="A657" s="5"/>
      <c r="B657" s="5"/>
      <c r="C657" s="5"/>
      <c r="D657" s="5"/>
      <c r="E657" s="3"/>
      <c r="F657" s="5"/>
      <c r="G657" s="5"/>
      <c r="H657" s="5"/>
      <c r="I657" s="3"/>
      <c r="J657" s="3"/>
      <c r="K657" s="3"/>
      <c r="L657" s="3"/>
      <c r="M657" s="3"/>
      <c r="N657" s="3"/>
      <c r="O657" s="3"/>
      <c r="P657" s="3"/>
      <c r="Q657" s="3"/>
      <c r="R657" s="3"/>
      <c r="S657" s="3"/>
      <c r="T657" s="3"/>
      <c r="U657" s="3"/>
      <c r="V657" s="3"/>
      <c r="W657" s="3"/>
      <c r="X657" s="3"/>
      <c r="Y657" s="3"/>
    </row>
    <row r="658">
      <c r="A658" s="5"/>
      <c r="B658" s="5"/>
      <c r="C658" s="5"/>
      <c r="D658" s="5"/>
      <c r="E658" s="3"/>
      <c r="F658" s="5"/>
      <c r="G658" s="5"/>
      <c r="H658" s="5"/>
      <c r="I658" s="3"/>
      <c r="J658" s="3"/>
      <c r="K658" s="3"/>
      <c r="L658" s="3"/>
      <c r="M658" s="3"/>
      <c r="N658" s="3"/>
      <c r="O658" s="3"/>
      <c r="P658" s="3"/>
      <c r="Q658" s="3"/>
      <c r="R658" s="3"/>
      <c r="S658" s="3"/>
      <c r="T658" s="3"/>
      <c r="U658" s="3"/>
      <c r="V658" s="3"/>
      <c r="W658" s="3"/>
      <c r="X658" s="3"/>
      <c r="Y658" s="3"/>
    </row>
    <row r="659">
      <c r="A659" s="5"/>
      <c r="B659" s="5"/>
      <c r="C659" s="5"/>
      <c r="D659" s="5"/>
      <c r="E659" s="3"/>
      <c r="F659" s="5"/>
      <c r="G659" s="5"/>
      <c r="H659" s="5"/>
      <c r="I659" s="3"/>
      <c r="J659" s="3"/>
      <c r="K659" s="3"/>
      <c r="L659" s="3"/>
      <c r="M659" s="3"/>
      <c r="N659" s="3"/>
      <c r="O659" s="3"/>
      <c r="P659" s="3"/>
      <c r="Q659" s="3"/>
      <c r="R659" s="3"/>
      <c r="S659" s="3"/>
      <c r="T659" s="3"/>
      <c r="U659" s="3"/>
      <c r="V659" s="3"/>
      <c r="W659" s="3"/>
      <c r="X659" s="3"/>
      <c r="Y659" s="3"/>
    </row>
    <row r="660">
      <c r="A660" s="5"/>
      <c r="B660" s="5"/>
      <c r="C660" s="5"/>
      <c r="D660" s="5"/>
      <c r="E660" s="3"/>
      <c r="F660" s="5"/>
      <c r="G660" s="5"/>
      <c r="H660" s="5"/>
      <c r="I660" s="3"/>
      <c r="J660" s="3"/>
      <c r="K660" s="3"/>
      <c r="L660" s="3"/>
      <c r="M660" s="3"/>
      <c r="N660" s="3"/>
      <c r="O660" s="3"/>
      <c r="P660" s="3"/>
      <c r="Q660" s="3"/>
      <c r="R660" s="3"/>
      <c r="S660" s="3"/>
      <c r="T660" s="3"/>
      <c r="U660" s="3"/>
      <c r="V660" s="3"/>
      <c r="W660" s="3"/>
      <c r="X660" s="3"/>
      <c r="Y660" s="3"/>
    </row>
    <row r="661">
      <c r="A661" s="5"/>
      <c r="B661" s="5"/>
      <c r="C661" s="5"/>
      <c r="D661" s="5"/>
      <c r="E661" s="3"/>
      <c r="F661" s="5"/>
      <c r="G661" s="5"/>
      <c r="H661" s="5"/>
      <c r="I661" s="3"/>
      <c r="J661" s="3"/>
      <c r="K661" s="3"/>
      <c r="L661" s="3"/>
      <c r="M661" s="3"/>
      <c r="N661" s="3"/>
      <c r="O661" s="3"/>
      <c r="P661" s="3"/>
      <c r="Q661" s="3"/>
      <c r="R661" s="3"/>
      <c r="S661" s="3"/>
      <c r="T661" s="3"/>
      <c r="U661" s="3"/>
      <c r="V661" s="3"/>
      <c r="W661" s="3"/>
      <c r="X661" s="3"/>
      <c r="Y661" s="3"/>
    </row>
    <row r="662">
      <c r="A662" s="5"/>
      <c r="B662" s="5"/>
      <c r="C662" s="5"/>
      <c r="D662" s="5"/>
      <c r="E662" s="3"/>
      <c r="F662" s="5"/>
      <c r="G662" s="5"/>
      <c r="H662" s="5"/>
      <c r="I662" s="3"/>
      <c r="J662" s="3"/>
      <c r="K662" s="3"/>
      <c r="L662" s="3"/>
      <c r="M662" s="3"/>
      <c r="N662" s="3"/>
      <c r="O662" s="3"/>
      <c r="P662" s="3"/>
      <c r="Q662" s="3"/>
      <c r="R662" s="3"/>
      <c r="S662" s="3"/>
      <c r="T662" s="3"/>
      <c r="U662" s="3"/>
      <c r="V662" s="3"/>
      <c r="W662" s="3"/>
      <c r="X662" s="3"/>
      <c r="Y662" s="3"/>
    </row>
    <row r="663">
      <c r="A663" s="5"/>
      <c r="B663" s="5"/>
      <c r="C663" s="5"/>
      <c r="D663" s="5"/>
      <c r="E663" s="3"/>
      <c r="F663" s="5"/>
      <c r="G663" s="5"/>
      <c r="H663" s="5"/>
      <c r="I663" s="3"/>
      <c r="J663" s="3"/>
      <c r="K663" s="3"/>
      <c r="L663" s="3"/>
      <c r="M663" s="3"/>
      <c r="N663" s="3"/>
      <c r="O663" s="3"/>
      <c r="P663" s="3"/>
      <c r="Q663" s="3"/>
      <c r="R663" s="3"/>
      <c r="S663" s="3"/>
      <c r="T663" s="3"/>
      <c r="U663" s="3"/>
      <c r="V663" s="3"/>
      <c r="W663" s="3"/>
      <c r="X663" s="3"/>
      <c r="Y663" s="3"/>
    </row>
    <row r="664">
      <c r="A664" s="5"/>
      <c r="B664" s="5"/>
      <c r="C664" s="5"/>
      <c r="D664" s="5"/>
      <c r="E664" s="3"/>
      <c r="F664" s="5"/>
      <c r="G664" s="5"/>
      <c r="H664" s="5"/>
      <c r="I664" s="3"/>
      <c r="J664" s="3"/>
      <c r="K664" s="3"/>
      <c r="L664" s="3"/>
      <c r="M664" s="3"/>
      <c r="N664" s="3"/>
      <c r="O664" s="3"/>
      <c r="P664" s="3"/>
      <c r="Q664" s="3"/>
      <c r="R664" s="3"/>
      <c r="S664" s="3"/>
      <c r="T664" s="3"/>
      <c r="U664" s="3"/>
      <c r="V664" s="3"/>
      <c r="W664" s="3"/>
      <c r="X664" s="3"/>
      <c r="Y664" s="3"/>
    </row>
    <row r="665">
      <c r="A665" s="5"/>
      <c r="B665" s="5"/>
      <c r="C665" s="5"/>
      <c r="D665" s="5"/>
      <c r="E665" s="3"/>
      <c r="F665" s="5"/>
      <c r="G665" s="5"/>
      <c r="H665" s="5"/>
      <c r="I665" s="3"/>
      <c r="J665" s="3"/>
      <c r="K665" s="3"/>
      <c r="L665" s="3"/>
      <c r="M665" s="3"/>
      <c r="N665" s="3"/>
      <c r="O665" s="3"/>
      <c r="P665" s="3"/>
      <c r="Q665" s="3"/>
      <c r="R665" s="3"/>
      <c r="S665" s="3"/>
      <c r="T665" s="3"/>
      <c r="U665" s="3"/>
      <c r="V665" s="3"/>
      <c r="W665" s="3"/>
      <c r="X665" s="3"/>
      <c r="Y665" s="3"/>
    </row>
    <row r="666">
      <c r="A666" s="5"/>
      <c r="B666" s="5"/>
      <c r="C666" s="5"/>
      <c r="D666" s="5"/>
      <c r="E666" s="3"/>
      <c r="F666" s="5"/>
      <c r="G666" s="5"/>
      <c r="H666" s="5"/>
      <c r="I666" s="3"/>
      <c r="J666" s="3"/>
      <c r="K666" s="3"/>
      <c r="L666" s="3"/>
      <c r="M666" s="3"/>
      <c r="N666" s="3"/>
      <c r="O666" s="3"/>
      <c r="P666" s="3"/>
      <c r="Q666" s="3"/>
      <c r="R666" s="3"/>
      <c r="S666" s="3"/>
      <c r="T666" s="3"/>
      <c r="U666" s="3"/>
      <c r="V666" s="3"/>
      <c r="W666" s="3"/>
      <c r="X666" s="3"/>
      <c r="Y666" s="3"/>
    </row>
    <row r="667">
      <c r="A667" s="5"/>
      <c r="B667" s="5"/>
      <c r="C667" s="5"/>
      <c r="D667" s="5"/>
      <c r="E667" s="3"/>
      <c r="F667" s="5"/>
      <c r="G667" s="5"/>
      <c r="H667" s="5"/>
      <c r="I667" s="3"/>
      <c r="J667" s="3"/>
      <c r="K667" s="3"/>
      <c r="L667" s="3"/>
      <c r="M667" s="3"/>
      <c r="N667" s="3"/>
      <c r="O667" s="3"/>
      <c r="P667" s="3"/>
      <c r="Q667" s="3"/>
      <c r="R667" s="3"/>
      <c r="S667" s="3"/>
      <c r="T667" s="3"/>
      <c r="U667" s="3"/>
      <c r="V667" s="3"/>
      <c r="W667" s="3"/>
      <c r="X667" s="3"/>
      <c r="Y667" s="3"/>
    </row>
    <row r="668">
      <c r="A668" s="5"/>
      <c r="B668" s="5"/>
      <c r="C668" s="5"/>
      <c r="D668" s="5"/>
      <c r="E668" s="3"/>
      <c r="F668" s="5"/>
      <c r="G668" s="5"/>
      <c r="H668" s="5"/>
      <c r="I668" s="3"/>
      <c r="J668" s="3"/>
      <c r="K668" s="3"/>
      <c r="L668" s="3"/>
      <c r="M668" s="3"/>
      <c r="N668" s="3"/>
      <c r="O668" s="3"/>
      <c r="P668" s="3"/>
      <c r="Q668" s="3"/>
      <c r="R668" s="3"/>
      <c r="S668" s="3"/>
      <c r="T668" s="3"/>
      <c r="U668" s="3"/>
      <c r="V668" s="3"/>
      <c r="W668" s="3"/>
      <c r="X668" s="3"/>
      <c r="Y668" s="3"/>
    </row>
    <row r="669">
      <c r="A669" s="5"/>
      <c r="B669" s="5"/>
      <c r="C669" s="5"/>
      <c r="D669" s="5"/>
      <c r="E669" s="3"/>
      <c r="F669" s="5"/>
      <c r="G669" s="5"/>
      <c r="H669" s="5"/>
      <c r="I669" s="3"/>
      <c r="J669" s="3"/>
      <c r="K669" s="3"/>
      <c r="L669" s="3"/>
      <c r="M669" s="3"/>
      <c r="N669" s="3"/>
      <c r="O669" s="3"/>
      <c r="P669" s="3"/>
      <c r="Q669" s="3"/>
      <c r="R669" s="3"/>
      <c r="S669" s="3"/>
      <c r="T669" s="3"/>
      <c r="U669" s="3"/>
      <c r="V669" s="3"/>
      <c r="W669" s="3"/>
      <c r="X669" s="3"/>
      <c r="Y669" s="3"/>
    </row>
    <row r="670">
      <c r="A670" s="5"/>
      <c r="B670" s="5"/>
      <c r="C670" s="5"/>
      <c r="D670" s="5"/>
      <c r="E670" s="3"/>
      <c r="F670" s="5"/>
      <c r="G670" s="5"/>
      <c r="H670" s="5"/>
      <c r="I670" s="3"/>
      <c r="J670" s="3"/>
      <c r="K670" s="3"/>
      <c r="L670" s="3"/>
      <c r="M670" s="3"/>
      <c r="N670" s="3"/>
      <c r="O670" s="3"/>
      <c r="P670" s="3"/>
      <c r="Q670" s="3"/>
      <c r="R670" s="3"/>
      <c r="S670" s="3"/>
      <c r="T670" s="3"/>
      <c r="U670" s="3"/>
      <c r="V670" s="3"/>
      <c r="W670" s="3"/>
      <c r="X670" s="3"/>
      <c r="Y670" s="3"/>
    </row>
    <row r="671">
      <c r="A671" s="5"/>
      <c r="B671" s="5"/>
      <c r="C671" s="5"/>
      <c r="D671" s="5"/>
      <c r="E671" s="3"/>
      <c r="F671" s="5"/>
      <c r="G671" s="5"/>
      <c r="H671" s="5"/>
      <c r="I671" s="3"/>
      <c r="J671" s="3"/>
      <c r="K671" s="3"/>
      <c r="L671" s="3"/>
      <c r="M671" s="3"/>
      <c r="N671" s="3"/>
      <c r="O671" s="3"/>
      <c r="P671" s="3"/>
      <c r="Q671" s="3"/>
      <c r="R671" s="3"/>
      <c r="S671" s="3"/>
      <c r="T671" s="3"/>
      <c r="U671" s="3"/>
      <c r="V671" s="3"/>
      <c r="W671" s="3"/>
      <c r="X671" s="3"/>
      <c r="Y671" s="3"/>
    </row>
    <row r="672">
      <c r="A672" s="5"/>
      <c r="B672" s="5"/>
      <c r="C672" s="5"/>
      <c r="D672" s="5"/>
      <c r="E672" s="3"/>
      <c r="F672" s="5"/>
      <c r="G672" s="5"/>
      <c r="H672" s="5"/>
      <c r="I672" s="3"/>
      <c r="J672" s="3"/>
      <c r="K672" s="3"/>
      <c r="L672" s="3"/>
      <c r="M672" s="3"/>
      <c r="N672" s="3"/>
      <c r="O672" s="3"/>
      <c r="P672" s="3"/>
      <c r="Q672" s="3"/>
      <c r="R672" s="3"/>
      <c r="S672" s="3"/>
      <c r="T672" s="3"/>
      <c r="U672" s="3"/>
      <c r="V672" s="3"/>
      <c r="W672" s="3"/>
      <c r="X672" s="3"/>
      <c r="Y672" s="3"/>
    </row>
    <row r="673">
      <c r="A673" s="5"/>
      <c r="B673" s="5"/>
      <c r="C673" s="5"/>
      <c r="D673" s="5"/>
      <c r="E673" s="3"/>
      <c r="F673" s="5"/>
      <c r="G673" s="5"/>
      <c r="H673" s="5"/>
      <c r="I673" s="3"/>
      <c r="J673" s="3"/>
      <c r="K673" s="3"/>
      <c r="L673" s="3"/>
      <c r="M673" s="3"/>
      <c r="N673" s="3"/>
      <c r="O673" s="3"/>
      <c r="P673" s="3"/>
      <c r="Q673" s="3"/>
      <c r="R673" s="3"/>
      <c r="S673" s="3"/>
      <c r="T673" s="3"/>
      <c r="U673" s="3"/>
      <c r="V673" s="3"/>
      <c r="W673" s="3"/>
      <c r="X673" s="3"/>
      <c r="Y673" s="3"/>
    </row>
    <row r="674">
      <c r="A674" s="5"/>
      <c r="B674" s="5"/>
      <c r="C674" s="5"/>
      <c r="D674" s="5"/>
      <c r="E674" s="3"/>
      <c r="F674" s="5"/>
      <c r="G674" s="5"/>
      <c r="H674" s="5"/>
      <c r="I674" s="3"/>
      <c r="J674" s="3"/>
      <c r="K674" s="3"/>
      <c r="L674" s="3"/>
      <c r="M674" s="3"/>
      <c r="N674" s="3"/>
      <c r="O674" s="3"/>
      <c r="P674" s="3"/>
      <c r="Q674" s="3"/>
      <c r="R674" s="3"/>
      <c r="S674" s="3"/>
      <c r="T674" s="3"/>
      <c r="U674" s="3"/>
      <c r="V674" s="3"/>
      <c r="W674" s="3"/>
      <c r="X674" s="3"/>
      <c r="Y674" s="3"/>
    </row>
    <row r="675">
      <c r="A675" s="5"/>
      <c r="B675" s="5"/>
      <c r="C675" s="5"/>
      <c r="D675" s="5"/>
      <c r="E675" s="3"/>
      <c r="F675" s="5"/>
      <c r="G675" s="5"/>
      <c r="H675" s="5"/>
      <c r="I675" s="3"/>
      <c r="J675" s="3"/>
      <c r="K675" s="3"/>
      <c r="L675" s="3"/>
      <c r="M675" s="3"/>
      <c r="N675" s="3"/>
      <c r="O675" s="3"/>
      <c r="P675" s="3"/>
      <c r="Q675" s="3"/>
      <c r="R675" s="3"/>
      <c r="S675" s="3"/>
      <c r="T675" s="3"/>
      <c r="U675" s="3"/>
      <c r="V675" s="3"/>
      <c r="W675" s="3"/>
      <c r="X675" s="3"/>
      <c r="Y675" s="3"/>
    </row>
    <row r="676">
      <c r="A676" s="5"/>
      <c r="B676" s="5"/>
      <c r="C676" s="5"/>
      <c r="D676" s="5"/>
      <c r="E676" s="3"/>
      <c r="F676" s="5"/>
      <c r="G676" s="5"/>
      <c r="H676" s="5"/>
      <c r="I676" s="3"/>
      <c r="J676" s="3"/>
      <c r="K676" s="3"/>
      <c r="L676" s="3"/>
      <c r="M676" s="3"/>
      <c r="N676" s="3"/>
      <c r="O676" s="3"/>
      <c r="P676" s="3"/>
      <c r="Q676" s="3"/>
      <c r="R676" s="3"/>
      <c r="S676" s="3"/>
      <c r="T676" s="3"/>
      <c r="U676" s="3"/>
      <c r="V676" s="3"/>
      <c r="W676" s="3"/>
      <c r="X676" s="3"/>
      <c r="Y676" s="3"/>
    </row>
    <row r="677">
      <c r="A677" s="5"/>
      <c r="B677" s="5"/>
      <c r="C677" s="5"/>
      <c r="D677" s="5"/>
      <c r="E677" s="3"/>
      <c r="F677" s="5"/>
      <c r="G677" s="5"/>
      <c r="H677" s="5"/>
      <c r="I677" s="3"/>
      <c r="J677" s="3"/>
      <c r="K677" s="3"/>
      <c r="L677" s="3"/>
      <c r="M677" s="3"/>
      <c r="N677" s="3"/>
      <c r="O677" s="3"/>
      <c r="P677" s="3"/>
      <c r="Q677" s="3"/>
      <c r="R677" s="3"/>
      <c r="S677" s="3"/>
      <c r="T677" s="3"/>
      <c r="U677" s="3"/>
      <c r="V677" s="3"/>
      <c r="W677" s="3"/>
      <c r="X677" s="3"/>
      <c r="Y677" s="3"/>
    </row>
    <row r="678">
      <c r="A678" s="5"/>
      <c r="B678" s="5"/>
      <c r="C678" s="5"/>
      <c r="D678" s="5"/>
      <c r="E678" s="3"/>
      <c r="F678" s="5"/>
      <c r="G678" s="5"/>
      <c r="H678" s="5"/>
      <c r="I678" s="3"/>
      <c r="J678" s="3"/>
      <c r="K678" s="3"/>
      <c r="L678" s="3"/>
      <c r="M678" s="3"/>
      <c r="N678" s="3"/>
      <c r="O678" s="3"/>
      <c r="P678" s="3"/>
      <c r="Q678" s="3"/>
      <c r="R678" s="3"/>
      <c r="S678" s="3"/>
      <c r="T678" s="3"/>
      <c r="U678" s="3"/>
      <c r="V678" s="3"/>
      <c r="W678" s="3"/>
      <c r="X678" s="3"/>
      <c r="Y678" s="3"/>
    </row>
    <row r="679">
      <c r="A679" s="5"/>
      <c r="B679" s="5"/>
      <c r="C679" s="5"/>
      <c r="D679" s="5"/>
      <c r="E679" s="3"/>
      <c r="F679" s="5"/>
      <c r="G679" s="5"/>
      <c r="H679" s="5"/>
      <c r="I679" s="3"/>
      <c r="J679" s="3"/>
      <c r="K679" s="3"/>
      <c r="L679" s="3"/>
      <c r="M679" s="3"/>
      <c r="N679" s="3"/>
      <c r="O679" s="3"/>
      <c r="P679" s="3"/>
      <c r="Q679" s="3"/>
      <c r="R679" s="3"/>
      <c r="S679" s="3"/>
      <c r="T679" s="3"/>
      <c r="U679" s="3"/>
      <c r="V679" s="3"/>
      <c r="W679" s="3"/>
      <c r="X679" s="3"/>
      <c r="Y679" s="3"/>
    </row>
    <row r="680">
      <c r="A680" s="5"/>
      <c r="B680" s="5"/>
      <c r="C680" s="5"/>
      <c r="D680" s="5"/>
      <c r="E680" s="3"/>
      <c r="F680" s="5"/>
      <c r="G680" s="5"/>
      <c r="H680" s="5"/>
      <c r="I680" s="3"/>
      <c r="J680" s="3"/>
      <c r="K680" s="3"/>
      <c r="L680" s="3"/>
      <c r="M680" s="3"/>
      <c r="N680" s="3"/>
      <c r="O680" s="3"/>
      <c r="P680" s="3"/>
      <c r="Q680" s="3"/>
      <c r="R680" s="3"/>
      <c r="S680" s="3"/>
      <c r="T680" s="3"/>
      <c r="U680" s="3"/>
      <c r="V680" s="3"/>
      <c r="W680" s="3"/>
      <c r="X680" s="3"/>
      <c r="Y680" s="3"/>
    </row>
    <row r="681">
      <c r="A681" s="5"/>
      <c r="B681" s="5"/>
      <c r="C681" s="5"/>
      <c r="D681" s="5"/>
      <c r="E681" s="3"/>
      <c r="F681" s="5"/>
      <c r="G681" s="5"/>
      <c r="H681" s="5"/>
      <c r="I681" s="3"/>
      <c r="J681" s="3"/>
      <c r="K681" s="3"/>
      <c r="L681" s="3"/>
      <c r="M681" s="3"/>
      <c r="N681" s="3"/>
      <c r="O681" s="3"/>
      <c r="P681" s="3"/>
      <c r="Q681" s="3"/>
      <c r="R681" s="3"/>
      <c r="S681" s="3"/>
      <c r="T681" s="3"/>
      <c r="U681" s="3"/>
      <c r="V681" s="3"/>
      <c r="W681" s="3"/>
      <c r="X681" s="3"/>
      <c r="Y681" s="3"/>
    </row>
    <row r="682">
      <c r="A682" s="5"/>
      <c r="B682" s="5"/>
      <c r="C682" s="5"/>
      <c r="D682" s="5"/>
      <c r="E682" s="3"/>
      <c r="F682" s="5"/>
      <c r="G682" s="5"/>
      <c r="H682" s="5"/>
      <c r="I682" s="3"/>
      <c r="J682" s="3"/>
      <c r="K682" s="3"/>
      <c r="L682" s="3"/>
      <c r="M682" s="3"/>
      <c r="N682" s="3"/>
      <c r="O682" s="3"/>
      <c r="P682" s="3"/>
      <c r="Q682" s="3"/>
      <c r="R682" s="3"/>
      <c r="S682" s="3"/>
      <c r="T682" s="3"/>
      <c r="U682" s="3"/>
      <c r="V682" s="3"/>
      <c r="W682" s="3"/>
      <c r="X682" s="3"/>
      <c r="Y682" s="3"/>
    </row>
    <row r="683">
      <c r="A683" s="5"/>
      <c r="B683" s="5"/>
      <c r="C683" s="5"/>
      <c r="D683" s="5"/>
      <c r="E683" s="3"/>
      <c r="F683" s="5"/>
      <c r="G683" s="5"/>
      <c r="H683" s="5"/>
      <c r="I683" s="3"/>
      <c r="J683" s="3"/>
      <c r="K683" s="3"/>
      <c r="L683" s="3"/>
      <c r="M683" s="3"/>
      <c r="N683" s="3"/>
      <c r="O683" s="3"/>
      <c r="P683" s="3"/>
      <c r="Q683" s="3"/>
      <c r="R683" s="3"/>
      <c r="S683" s="3"/>
      <c r="T683" s="3"/>
      <c r="U683" s="3"/>
      <c r="V683" s="3"/>
      <c r="W683" s="3"/>
      <c r="X683" s="3"/>
      <c r="Y683" s="3"/>
    </row>
    <row r="684">
      <c r="A684" s="5"/>
      <c r="B684" s="5"/>
      <c r="C684" s="5"/>
      <c r="D684" s="5"/>
      <c r="E684" s="3"/>
      <c r="F684" s="5"/>
      <c r="G684" s="5"/>
      <c r="H684" s="5"/>
      <c r="I684" s="3"/>
      <c r="J684" s="3"/>
      <c r="K684" s="3"/>
      <c r="L684" s="3"/>
      <c r="M684" s="3"/>
      <c r="N684" s="3"/>
      <c r="O684" s="3"/>
      <c r="P684" s="3"/>
      <c r="Q684" s="3"/>
      <c r="R684" s="3"/>
      <c r="S684" s="3"/>
      <c r="T684" s="3"/>
      <c r="U684" s="3"/>
      <c r="V684" s="3"/>
      <c r="W684" s="3"/>
      <c r="X684" s="3"/>
      <c r="Y684" s="3"/>
    </row>
    <row r="685">
      <c r="A685" s="5"/>
      <c r="B685" s="5"/>
      <c r="C685" s="5"/>
      <c r="D685" s="5"/>
      <c r="E685" s="3"/>
      <c r="F685" s="5"/>
      <c r="G685" s="5"/>
      <c r="H685" s="5"/>
      <c r="I685" s="3"/>
      <c r="J685" s="3"/>
      <c r="K685" s="3"/>
      <c r="L685" s="3"/>
      <c r="M685" s="3"/>
      <c r="N685" s="3"/>
      <c r="O685" s="3"/>
      <c r="P685" s="3"/>
      <c r="Q685" s="3"/>
      <c r="R685" s="3"/>
      <c r="S685" s="3"/>
      <c r="T685" s="3"/>
      <c r="U685" s="3"/>
      <c r="V685" s="3"/>
      <c r="W685" s="3"/>
      <c r="X685" s="3"/>
      <c r="Y685" s="3"/>
    </row>
    <row r="686">
      <c r="A686" s="5"/>
      <c r="B686" s="5"/>
      <c r="C686" s="5"/>
      <c r="D686" s="5"/>
      <c r="E686" s="3"/>
      <c r="F686" s="5"/>
      <c r="G686" s="5"/>
      <c r="H686" s="5"/>
      <c r="I686" s="3"/>
      <c r="J686" s="3"/>
      <c r="K686" s="3"/>
      <c r="L686" s="3"/>
      <c r="M686" s="3"/>
      <c r="N686" s="3"/>
      <c r="O686" s="3"/>
      <c r="P686" s="3"/>
      <c r="Q686" s="3"/>
      <c r="R686" s="3"/>
      <c r="S686" s="3"/>
      <c r="T686" s="3"/>
      <c r="U686" s="3"/>
      <c r="V686" s="3"/>
      <c r="W686" s="3"/>
      <c r="X686" s="3"/>
      <c r="Y686" s="3"/>
    </row>
    <row r="687">
      <c r="A687" s="5"/>
      <c r="B687" s="5"/>
      <c r="C687" s="5"/>
      <c r="D687" s="5"/>
      <c r="E687" s="3"/>
      <c r="F687" s="5"/>
      <c r="G687" s="5"/>
      <c r="H687" s="5"/>
      <c r="I687" s="3"/>
      <c r="J687" s="3"/>
      <c r="K687" s="3"/>
      <c r="L687" s="3"/>
      <c r="M687" s="3"/>
      <c r="N687" s="3"/>
      <c r="O687" s="3"/>
      <c r="P687" s="3"/>
      <c r="Q687" s="3"/>
      <c r="R687" s="3"/>
      <c r="S687" s="3"/>
      <c r="T687" s="3"/>
      <c r="U687" s="3"/>
      <c r="V687" s="3"/>
      <c r="W687" s="3"/>
      <c r="X687" s="3"/>
      <c r="Y687" s="3"/>
    </row>
    <row r="688">
      <c r="A688" s="5"/>
      <c r="B688" s="5"/>
      <c r="C688" s="5"/>
      <c r="D688" s="5"/>
      <c r="E688" s="3"/>
      <c r="F688" s="5"/>
      <c r="G688" s="5"/>
      <c r="H688" s="5"/>
      <c r="I688" s="3"/>
      <c r="J688" s="3"/>
      <c r="K688" s="3"/>
      <c r="L688" s="3"/>
      <c r="M688" s="3"/>
      <c r="N688" s="3"/>
      <c r="O688" s="3"/>
      <c r="P688" s="3"/>
      <c r="Q688" s="3"/>
      <c r="R688" s="3"/>
      <c r="S688" s="3"/>
      <c r="T688" s="3"/>
      <c r="U688" s="3"/>
      <c r="V688" s="3"/>
      <c r="W688" s="3"/>
      <c r="X688" s="3"/>
      <c r="Y688" s="3"/>
    </row>
    <row r="689">
      <c r="A689" s="5"/>
      <c r="B689" s="5"/>
      <c r="C689" s="5"/>
      <c r="D689" s="5"/>
      <c r="E689" s="3"/>
      <c r="F689" s="5"/>
      <c r="G689" s="5"/>
      <c r="H689" s="5"/>
      <c r="I689" s="3"/>
      <c r="J689" s="3"/>
      <c r="K689" s="3"/>
      <c r="L689" s="3"/>
      <c r="M689" s="3"/>
      <c r="N689" s="3"/>
      <c r="O689" s="3"/>
      <c r="P689" s="3"/>
      <c r="Q689" s="3"/>
      <c r="R689" s="3"/>
      <c r="S689" s="3"/>
      <c r="T689" s="3"/>
      <c r="U689" s="3"/>
      <c r="V689" s="3"/>
      <c r="W689" s="3"/>
      <c r="X689" s="3"/>
      <c r="Y689" s="3"/>
    </row>
    <row r="690">
      <c r="A690" s="5"/>
      <c r="B690" s="5"/>
      <c r="C690" s="5"/>
      <c r="D690" s="5"/>
      <c r="E690" s="3"/>
      <c r="F690" s="5"/>
      <c r="G690" s="5"/>
      <c r="H690" s="5"/>
      <c r="I690" s="3"/>
      <c r="J690" s="3"/>
      <c r="K690" s="3"/>
      <c r="L690" s="3"/>
      <c r="M690" s="3"/>
      <c r="N690" s="3"/>
      <c r="O690" s="3"/>
      <c r="P690" s="3"/>
      <c r="Q690" s="3"/>
      <c r="R690" s="3"/>
      <c r="S690" s="3"/>
      <c r="T690" s="3"/>
      <c r="U690" s="3"/>
      <c r="V690" s="3"/>
      <c r="W690" s="3"/>
      <c r="X690" s="3"/>
      <c r="Y690" s="3"/>
    </row>
    <row r="691">
      <c r="A691" s="5"/>
      <c r="B691" s="5"/>
      <c r="C691" s="5"/>
      <c r="D691" s="5"/>
      <c r="E691" s="3"/>
      <c r="F691" s="5"/>
      <c r="G691" s="5"/>
      <c r="H691" s="5"/>
      <c r="I691" s="3"/>
      <c r="J691" s="3"/>
      <c r="K691" s="3"/>
      <c r="L691" s="3"/>
      <c r="M691" s="3"/>
      <c r="N691" s="3"/>
      <c r="O691" s="3"/>
      <c r="P691" s="3"/>
      <c r="Q691" s="3"/>
      <c r="R691" s="3"/>
      <c r="S691" s="3"/>
      <c r="T691" s="3"/>
      <c r="U691" s="3"/>
      <c r="V691" s="3"/>
      <c r="W691" s="3"/>
      <c r="X691" s="3"/>
      <c r="Y691" s="3"/>
    </row>
    <row r="692">
      <c r="A692" s="5"/>
      <c r="B692" s="5"/>
      <c r="C692" s="5"/>
      <c r="D692" s="5"/>
      <c r="E692" s="3"/>
      <c r="F692" s="5"/>
      <c r="G692" s="5"/>
      <c r="H692" s="5"/>
      <c r="I692" s="3"/>
      <c r="J692" s="3"/>
      <c r="K692" s="3"/>
      <c r="L692" s="3"/>
      <c r="M692" s="3"/>
      <c r="N692" s="3"/>
      <c r="O692" s="3"/>
      <c r="P692" s="3"/>
      <c r="Q692" s="3"/>
      <c r="R692" s="3"/>
      <c r="S692" s="3"/>
      <c r="T692" s="3"/>
      <c r="U692" s="3"/>
      <c r="V692" s="3"/>
      <c r="W692" s="3"/>
      <c r="X692" s="3"/>
      <c r="Y692" s="3"/>
    </row>
    <row r="693">
      <c r="A693" s="5"/>
      <c r="B693" s="5"/>
      <c r="C693" s="5"/>
      <c r="D693" s="5"/>
      <c r="E693" s="3"/>
      <c r="F693" s="5"/>
      <c r="G693" s="5"/>
      <c r="H693" s="5"/>
      <c r="I693" s="3"/>
      <c r="J693" s="3"/>
      <c r="K693" s="3"/>
      <c r="L693" s="3"/>
      <c r="M693" s="3"/>
      <c r="N693" s="3"/>
      <c r="O693" s="3"/>
      <c r="P693" s="3"/>
      <c r="Q693" s="3"/>
      <c r="R693" s="3"/>
      <c r="S693" s="3"/>
      <c r="T693" s="3"/>
      <c r="U693" s="3"/>
      <c r="V693" s="3"/>
      <c r="W693" s="3"/>
      <c r="X693" s="3"/>
      <c r="Y693" s="3"/>
    </row>
    <row r="694">
      <c r="A694" s="5"/>
      <c r="B694" s="5"/>
      <c r="C694" s="5"/>
      <c r="D694" s="5"/>
      <c r="E694" s="3"/>
      <c r="F694" s="5"/>
      <c r="G694" s="5"/>
      <c r="H694" s="5"/>
      <c r="I694" s="3"/>
      <c r="J694" s="3"/>
      <c r="K694" s="3"/>
      <c r="L694" s="3"/>
      <c r="M694" s="3"/>
      <c r="N694" s="3"/>
      <c r="O694" s="3"/>
      <c r="P694" s="3"/>
      <c r="Q694" s="3"/>
      <c r="R694" s="3"/>
      <c r="S694" s="3"/>
      <c r="T694" s="3"/>
      <c r="U694" s="3"/>
      <c r="V694" s="3"/>
      <c r="W694" s="3"/>
      <c r="X694" s="3"/>
      <c r="Y694" s="3"/>
    </row>
    <row r="695">
      <c r="A695" s="5"/>
      <c r="B695" s="5"/>
      <c r="C695" s="5"/>
      <c r="D695" s="5"/>
      <c r="E695" s="3"/>
      <c r="F695" s="5"/>
      <c r="G695" s="5"/>
      <c r="H695" s="5"/>
      <c r="I695" s="3"/>
      <c r="J695" s="3"/>
      <c r="K695" s="3"/>
      <c r="L695" s="3"/>
      <c r="M695" s="3"/>
      <c r="N695" s="3"/>
      <c r="O695" s="3"/>
      <c r="P695" s="3"/>
      <c r="Q695" s="3"/>
      <c r="R695" s="3"/>
      <c r="S695" s="3"/>
      <c r="T695" s="3"/>
      <c r="U695" s="3"/>
      <c r="V695" s="3"/>
      <c r="W695" s="3"/>
      <c r="X695" s="3"/>
      <c r="Y695" s="3"/>
    </row>
    <row r="696">
      <c r="A696" s="5"/>
      <c r="B696" s="5"/>
      <c r="C696" s="5"/>
      <c r="D696" s="5"/>
      <c r="E696" s="3"/>
      <c r="F696" s="5"/>
      <c r="G696" s="5"/>
      <c r="H696" s="5"/>
      <c r="I696" s="3"/>
      <c r="J696" s="3"/>
      <c r="K696" s="3"/>
      <c r="L696" s="3"/>
      <c r="M696" s="3"/>
      <c r="N696" s="3"/>
      <c r="O696" s="3"/>
      <c r="P696" s="3"/>
      <c r="Q696" s="3"/>
      <c r="R696" s="3"/>
      <c r="S696" s="3"/>
      <c r="T696" s="3"/>
      <c r="U696" s="3"/>
      <c r="V696" s="3"/>
      <c r="W696" s="3"/>
      <c r="X696" s="3"/>
      <c r="Y696" s="3"/>
    </row>
    <row r="697">
      <c r="A697" s="5"/>
      <c r="B697" s="5"/>
      <c r="C697" s="5"/>
      <c r="D697" s="5"/>
      <c r="E697" s="3"/>
      <c r="F697" s="5"/>
      <c r="G697" s="5"/>
      <c r="H697" s="5"/>
      <c r="I697" s="3"/>
      <c r="J697" s="3"/>
      <c r="K697" s="3"/>
      <c r="L697" s="3"/>
      <c r="M697" s="3"/>
      <c r="N697" s="3"/>
      <c r="O697" s="3"/>
      <c r="P697" s="3"/>
      <c r="Q697" s="3"/>
      <c r="R697" s="3"/>
      <c r="S697" s="3"/>
      <c r="T697" s="3"/>
      <c r="U697" s="3"/>
      <c r="V697" s="3"/>
      <c r="W697" s="3"/>
      <c r="X697" s="3"/>
      <c r="Y697" s="3"/>
    </row>
    <row r="698">
      <c r="A698" s="5"/>
      <c r="B698" s="5"/>
      <c r="C698" s="5"/>
      <c r="D698" s="5"/>
      <c r="E698" s="3"/>
      <c r="F698" s="5"/>
      <c r="G698" s="5"/>
      <c r="H698" s="5"/>
      <c r="I698" s="3"/>
      <c r="J698" s="3"/>
      <c r="K698" s="3"/>
      <c r="L698" s="3"/>
      <c r="M698" s="3"/>
      <c r="N698" s="3"/>
      <c r="O698" s="3"/>
      <c r="P698" s="3"/>
      <c r="Q698" s="3"/>
      <c r="R698" s="3"/>
      <c r="S698" s="3"/>
      <c r="T698" s="3"/>
      <c r="U698" s="3"/>
      <c r="V698" s="3"/>
      <c r="W698" s="3"/>
      <c r="X698" s="3"/>
      <c r="Y698" s="3"/>
    </row>
    <row r="699">
      <c r="A699" s="5"/>
      <c r="B699" s="5"/>
      <c r="C699" s="5"/>
      <c r="D699" s="5"/>
      <c r="E699" s="3"/>
      <c r="F699" s="5"/>
      <c r="G699" s="5"/>
      <c r="H699" s="5"/>
      <c r="I699" s="3"/>
      <c r="J699" s="3"/>
      <c r="K699" s="3"/>
      <c r="L699" s="3"/>
      <c r="M699" s="3"/>
      <c r="N699" s="3"/>
      <c r="O699" s="3"/>
      <c r="P699" s="3"/>
      <c r="Q699" s="3"/>
      <c r="R699" s="3"/>
      <c r="S699" s="3"/>
      <c r="T699" s="3"/>
      <c r="U699" s="3"/>
      <c r="V699" s="3"/>
      <c r="W699" s="3"/>
      <c r="X699" s="3"/>
      <c r="Y699" s="3"/>
    </row>
    <row r="700">
      <c r="A700" s="5"/>
      <c r="B700" s="5"/>
      <c r="C700" s="5"/>
      <c r="D700" s="5"/>
      <c r="E700" s="3"/>
      <c r="F700" s="5"/>
      <c r="G700" s="5"/>
      <c r="H700" s="5"/>
      <c r="I700" s="3"/>
      <c r="J700" s="3"/>
      <c r="K700" s="3"/>
      <c r="L700" s="3"/>
      <c r="M700" s="3"/>
      <c r="N700" s="3"/>
      <c r="O700" s="3"/>
      <c r="P700" s="3"/>
      <c r="Q700" s="3"/>
      <c r="R700" s="3"/>
      <c r="S700" s="3"/>
      <c r="T700" s="3"/>
      <c r="U700" s="3"/>
      <c r="V700" s="3"/>
      <c r="W700" s="3"/>
      <c r="X700" s="3"/>
      <c r="Y700" s="3"/>
    </row>
    <row r="701">
      <c r="A701" s="5"/>
      <c r="B701" s="5"/>
      <c r="C701" s="5"/>
      <c r="D701" s="5"/>
      <c r="E701" s="3"/>
      <c r="F701" s="5"/>
      <c r="G701" s="5"/>
      <c r="H701" s="5"/>
      <c r="I701" s="3"/>
      <c r="J701" s="3"/>
      <c r="K701" s="3"/>
      <c r="L701" s="3"/>
      <c r="M701" s="3"/>
      <c r="N701" s="3"/>
      <c r="O701" s="3"/>
      <c r="P701" s="3"/>
      <c r="Q701" s="3"/>
      <c r="R701" s="3"/>
      <c r="S701" s="3"/>
      <c r="T701" s="3"/>
      <c r="U701" s="3"/>
      <c r="V701" s="3"/>
      <c r="W701" s="3"/>
      <c r="X701" s="3"/>
      <c r="Y701" s="3"/>
    </row>
    <row r="702">
      <c r="A702" s="5"/>
      <c r="B702" s="5"/>
      <c r="C702" s="5"/>
      <c r="D702" s="5"/>
      <c r="E702" s="3"/>
      <c r="F702" s="5"/>
      <c r="G702" s="5"/>
      <c r="H702" s="5"/>
      <c r="I702" s="3"/>
      <c r="J702" s="3"/>
      <c r="K702" s="3"/>
      <c r="L702" s="3"/>
      <c r="M702" s="3"/>
      <c r="N702" s="3"/>
      <c r="O702" s="3"/>
      <c r="P702" s="3"/>
      <c r="Q702" s="3"/>
      <c r="R702" s="3"/>
      <c r="S702" s="3"/>
      <c r="T702" s="3"/>
      <c r="U702" s="3"/>
      <c r="V702" s="3"/>
      <c r="W702" s="3"/>
      <c r="X702" s="3"/>
      <c r="Y702" s="3"/>
    </row>
    <row r="703">
      <c r="A703" s="5"/>
      <c r="B703" s="5"/>
      <c r="C703" s="5"/>
      <c r="D703" s="5"/>
      <c r="E703" s="3"/>
      <c r="F703" s="5"/>
      <c r="G703" s="5"/>
      <c r="H703" s="5"/>
      <c r="I703" s="3"/>
      <c r="J703" s="3"/>
      <c r="K703" s="3"/>
      <c r="L703" s="3"/>
      <c r="M703" s="3"/>
      <c r="N703" s="3"/>
      <c r="O703" s="3"/>
      <c r="P703" s="3"/>
      <c r="Q703" s="3"/>
      <c r="R703" s="3"/>
      <c r="S703" s="3"/>
      <c r="T703" s="3"/>
      <c r="U703" s="3"/>
      <c r="V703" s="3"/>
      <c r="W703" s="3"/>
      <c r="X703" s="3"/>
      <c r="Y703" s="3"/>
    </row>
    <row r="704">
      <c r="A704" s="5"/>
      <c r="B704" s="5"/>
      <c r="C704" s="5"/>
      <c r="D704" s="5"/>
      <c r="E704" s="3"/>
      <c r="F704" s="5"/>
      <c r="G704" s="5"/>
      <c r="H704" s="5"/>
      <c r="I704" s="3"/>
      <c r="J704" s="3"/>
      <c r="K704" s="3"/>
      <c r="L704" s="3"/>
      <c r="M704" s="3"/>
      <c r="N704" s="3"/>
      <c r="O704" s="3"/>
      <c r="P704" s="3"/>
      <c r="Q704" s="3"/>
      <c r="R704" s="3"/>
      <c r="S704" s="3"/>
      <c r="T704" s="3"/>
      <c r="U704" s="3"/>
      <c r="V704" s="3"/>
      <c r="W704" s="3"/>
      <c r="X704" s="3"/>
      <c r="Y704" s="3"/>
    </row>
    <row r="705">
      <c r="A705" s="5"/>
      <c r="B705" s="5"/>
      <c r="C705" s="5"/>
      <c r="D705" s="5"/>
      <c r="E705" s="3"/>
      <c r="F705" s="5"/>
      <c r="G705" s="5"/>
      <c r="H705" s="5"/>
      <c r="I705" s="3"/>
      <c r="J705" s="3"/>
      <c r="K705" s="3"/>
      <c r="L705" s="3"/>
      <c r="M705" s="3"/>
      <c r="N705" s="3"/>
      <c r="O705" s="3"/>
      <c r="P705" s="3"/>
      <c r="Q705" s="3"/>
      <c r="R705" s="3"/>
      <c r="S705" s="3"/>
      <c r="T705" s="3"/>
      <c r="U705" s="3"/>
      <c r="V705" s="3"/>
      <c r="W705" s="3"/>
      <c r="X705" s="3"/>
      <c r="Y705" s="3"/>
    </row>
    <row r="706">
      <c r="A706" s="5"/>
      <c r="B706" s="5"/>
      <c r="C706" s="5"/>
      <c r="D706" s="5"/>
      <c r="E706" s="3"/>
      <c r="F706" s="5"/>
      <c r="G706" s="5"/>
      <c r="H706" s="5"/>
      <c r="I706" s="3"/>
      <c r="J706" s="3"/>
      <c r="K706" s="3"/>
      <c r="L706" s="3"/>
      <c r="M706" s="3"/>
      <c r="N706" s="3"/>
      <c r="O706" s="3"/>
      <c r="P706" s="3"/>
      <c r="Q706" s="3"/>
      <c r="R706" s="3"/>
      <c r="S706" s="3"/>
      <c r="T706" s="3"/>
      <c r="U706" s="3"/>
      <c r="V706" s="3"/>
      <c r="W706" s="3"/>
      <c r="X706" s="3"/>
      <c r="Y706" s="3"/>
    </row>
    <row r="707">
      <c r="A707" s="5"/>
      <c r="B707" s="5"/>
      <c r="C707" s="5"/>
      <c r="D707" s="5"/>
      <c r="E707" s="3"/>
      <c r="F707" s="5"/>
      <c r="G707" s="5"/>
      <c r="H707" s="5"/>
      <c r="I707" s="3"/>
      <c r="J707" s="3"/>
      <c r="K707" s="3"/>
      <c r="L707" s="3"/>
      <c r="M707" s="3"/>
      <c r="N707" s="3"/>
      <c r="O707" s="3"/>
      <c r="P707" s="3"/>
      <c r="Q707" s="3"/>
      <c r="R707" s="3"/>
      <c r="S707" s="3"/>
      <c r="T707" s="3"/>
      <c r="U707" s="3"/>
      <c r="V707" s="3"/>
      <c r="W707" s="3"/>
      <c r="X707" s="3"/>
      <c r="Y707" s="3"/>
    </row>
    <row r="708">
      <c r="A708" s="5"/>
      <c r="B708" s="5"/>
      <c r="C708" s="5"/>
      <c r="D708" s="5"/>
      <c r="E708" s="3"/>
      <c r="F708" s="5"/>
      <c r="G708" s="5"/>
      <c r="H708" s="5"/>
      <c r="I708" s="3"/>
      <c r="J708" s="3"/>
      <c r="K708" s="3"/>
      <c r="L708" s="3"/>
      <c r="M708" s="3"/>
      <c r="N708" s="3"/>
      <c r="O708" s="3"/>
      <c r="P708" s="3"/>
      <c r="Q708" s="3"/>
      <c r="R708" s="3"/>
      <c r="S708" s="3"/>
      <c r="T708" s="3"/>
      <c r="U708" s="3"/>
      <c r="V708" s="3"/>
      <c r="W708" s="3"/>
      <c r="X708" s="3"/>
      <c r="Y708" s="3"/>
    </row>
    <row r="709">
      <c r="A709" s="5"/>
      <c r="B709" s="5"/>
      <c r="C709" s="5"/>
      <c r="D709" s="5"/>
      <c r="E709" s="3"/>
      <c r="F709" s="5"/>
      <c r="G709" s="5"/>
      <c r="H709" s="5"/>
      <c r="I709" s="3"/>
      <c r="J709" s="3"/>
      <c r="K709" s="3"/>
      <c r="L709" s="3"/>
      <c r="M709" s="3"/>
      <c r="N709" s="3"/>
      <c r="O709" s="3"/>
      <c r="P709" s="3"/>
      <c r="Q709" s="3"/>
      <c r="R709" s="3"/>
      <c r="S709" s="3"/>
      <c r="T709" s="3"/>
      <c r="U709" s="3"/>
      <c r="V709" s="3"/>
      <c r="W709" s="3"/>
      <c r="X709" s="3"/>
      <c r="Y709" s="3"/>
    </row>
    <row r="710">
      <c r="A710" s="5"/>
      <c r="B710" s="5"/>
      <c r="C710" s="5"/>
      <c r="D710" s="5"/>
      <c r="E710" s="3"/>
      <c r="F710" s="5"/>
      <c r="G710" s="5"/>
      <c r="H710" s="5"/>
      <c r="I710" s="3"/>
      <c r="J710" s="3"/>
      <c r="K710" s="3"/>
      <c r="L710" s="3"/>
      <c r="M710" s="3"/>
      <c r="N710" s="3"/>
      <c r="O710" s="3"/>
      <c r="P710" s="3"/>
      <c r="Q710" s="3"/>
      <c r="R710" s="3"/>
      <c r="S710" s="3"/>
      <c r="T710" s="3"/>
      <c r="U710" s="3"/>
      <c r="V710" s="3"/>
      <c r="W710" s="3"/>
      <c r="X710" s="3"/>
      <c r="Y710" s="3"/>
    </row>
    <row r="711">
      <c r="A711" s="5"/>
      <c r="B711" s="5"/>
      <c r="C711" s="5"/>
      <c r="D711" s="5"/>
      <c r="E711" s="3"/>
      <c r="F711" s="5"/>
      <c r="G711" s="5"/>
      <c r="H711" s="5"/>
      <c r="I711" s="3"/>
      <c r="J711" s="3"/>
      <c r="K711" s="3"/>
      <c r="L711" s="3"/>
      <c r="M711" s="3"/>
      <c r="N711" s="3"/>
      <c r="O711" s="3"/>
      <c r="P711" s="3"/>
      <c r="Q711" s="3"/>
      <c r="R711" s="3"/>
      <c r="S711" s="3"/>
      <c r="T711" s="3"/>
      <c r="U711" s="3"/>
      <c r="V711" s="3"/>
      <c r="W711" s="3"/>
      <c r="X711" s="3"/>
      <c r="Y711" s="3"/>
    </row>
    <row r="712">
      <c r="A712" s="5"/>
      <c r="B712" s="5"/>
      <c r="C712" s="5"/>
      <c r="D712" s="5"/>
      <c r="E712" s="3"/>
      <c r="F712" s="5"/>
      <c r="G712" s="5"/>
      <c r="H712" s="5"/>
      <c r="I712" s="3"/>
      <c r="J712" s="3"/>
      <c r="K712" s="3"/>
      <c r="L712" s="3"/>
      <c r="M712" s="3"/>
      <c r="N712" s="3"/>
      <c r="O712" s="3"/>
      <c r="P712" s="3"/>
      <c r="Q712" s="3"/>
      <c r="R712" s="3"/>
      <c r="S712" s="3"/>
      <c r="T712" s="3"/>
      <c r="U712" s="3"/>
      <c r="V712" s="3"/>
      <c r="W712" s="3"/>
      <c r="X712" s="3"/>
      <c r="Y712" s="3"/>
    </row>
    <row r="713">
      <c r="A713" s="5"/>
      <c r="B713" s="5"/>
      <c r="C713" s="5"/>
      <c r="D713" s="5"/>
      <c r="E713" s="3"/>
      <c r="F713" s="5"/>
      <c r="G713" s="5"/>
      <c r="H713" s="5"/>
      <c r="I713" s="3"/>
      <c r="J713" s="3"/>
      <c r="K713" s="3"/>
      <c r="L713" s="3"/>
      <c r="M713" s="3"/>
      <c r="N713" s="3"/>
      <c r="O713" s="3"/>
      <c r="P713" s="3"/>
      <c r="Q713" s="3"/>
      <c r="R713" s="3"/>
      <c r="S713" s="3"/>
      <c r="T713" s="3"/>
      <c r="U713" s="3"/>
      <c r="V713" s="3"/>
      <c r="W713" s="3"/>
      <c r="X713" s="3"/>
      <c r="Y713" s="3"/>
    </row>
    <row r="714">
      <c r="A714" s="5"/>
      <c r="B714" s="5"/>
      <c r="C714" s="5"/>
      <c r="D714" s="5"/>
      <c r="E714" s="3"/>
      <c r="F714" s="5"/>
      <c r="G714" s="5"/>
      <c r="H714" s="5"/>
      <c r="I714" s="3"/>
      <c r="J714" s="3"/>
      <c r="K714" s="3"/>
      <c r="L714" s="3"/>
      <c r="M714" s="3"/>
      <c r="N714" s="3"/>
      <c r="O714" s="3"/>
      <c r="P714" s="3"/>
      <c r="Q714" s="3"/>
      <c r="R714" s="3"/>
      <c r="S714" s="3"/>
      <c r="T714" s="3"/>
      <c r="U714" s="3"/>
      <c r="V714" s="3"/>
      <c r="W714" s="3"/>
      <c r="X714" s="3"/>
      <c r="Y714" s="3"/>
    </row>
    <row r="715">
      <c r="A715" s="5"/>
      <c r="B715" s="5"/>
      <c r="C715" s="5"/>
      <c r="D715" s="5"/>
      <c r="E715" s="3"/>
      <c r="F715" s="5"/>
      <c r="G715" s="5"/>
      <c r="H715" s="5"/>
      <c r="I715" s="3"/>
      <c r="J715" s="3"/>
      <c r="K715" s="3"/>
      <c r="L715" s="3"/>
      <c r="M715" s="3"/>
      <c r="N715" s="3"/>
      <c r="O715" s="3"/>
      <c r="P715" s="3"/>
      <c r="Q715" s="3"/>
      <c r="R715" s="3"/>
      <c r="S715" s="3"/>
      <c r="T715" s="3"/>
      <c r="U715" s="3"/>
      <c r="V715" s="3"/>
      <c r="W715" s="3"/>
      <c r="X715" s="3"/>
      <c r="Y715" s="3"/>
    </row>
    <row r="716">
      <c r="A716" s="5"/>
      <c r="B716" s="5"/>
      <c r="C716" s="5"/>
      <c r="D716" s="5"/>
      <c r="E716" s="3"/>
      <c r="F716" s="5"/>
      <c r="G716" s="5"/>
      <c r="H716" s="5"/>
      <c r="I716" s="3"/>
      <c r="J716" s="3"/>
      <c r="K716" s="3"/>
      <c r="L716" s="3"/>
      <c r="M716" s="3"/>
      <c r="N716" s="3"/>
      <c r="O716" s="3"/>
      <c r="P716" s="3"/>
      <c r="Q716" s="3"/>
      <c r="R716" s="3"/>
      <c r="S716" s="3"/>
      <c r="T716" s="3"/>
      <c r="U716" s="3"/>
      <c r="V716" s="3"/>
      <c r="W716" s="3"/>
      <c r="X716" s="3"/>
      <c r="Y716" s="3"/>
    </row>
    <row r="717">
      <c r="A717" s="5"/>
      <c r="B717" s="5"/>
      <c r="C717" s="5"/>
      <c r="D717" s="5"/>
      <c r="E717" s="3"/>
      <c r="F717" s="5"/>
      <c r="G717" s="5"/>
      <c r="H717" s="5"/>
      <c r="I717" s="3"/>
      <c r="J717" s="3"/>
      <c r="K717" s="3"/>
      <c r="L717" s="3"/>
      <c r="M717" s="3"/>
      <c r="N717" s="3"/>
      <c r="O717" s="3"/>
      <c r="P717" s="3"/>
      <c r="Q717" s="3"/>
      <c r="R717" s="3"/>
      <c r="S717" s="3"/>
      <c r="T717" s="3"/>
      <c r="U717" s="3"/>
      <c r="V717" s="3"/>
      <c r="W717" s="3"/>
      <c r="X717" s="3"/>
      <c r="Y717" s="3"/>
    </row>
    <row r="718">
      <c r="A718" s="5"/>
      <c r="B718" s="5"/>
      <c r="C718" s="5"/>
      <c r="D718" s="5"/>
      <c r="E718" s="3"/>
      <c r="F718" s="5"/>
      <c r="G718" s="5"/>
      <c r="H718" s="5"/>
      <c r="I718" s="3"/>
      <c r="J718" s="3"/>
      <c r="K718" s="3"/>
      <c r="L718" s="3"/>
      <c r="M718" s="3"/>
      <c r="N718" s="3"/>
      <c r="O718" s="3"/>
      <c r="P718" s="3"/>
      <c r="Q718" s="3"/>
      <c r="R718" s="3"/>
      <c r="S718" s="3"/>
      <c r="T718" s="3"/>
      <c r="U718" s="3"/>
      <c r="V718" s="3"/>
      <c r="W718" s="3"/>
      <c r="X718" s="3"/>
      <c r="Y718" s="3"/>
    </row>
    <row r="719">
      <c r="A719" s="5"/>
      <c r="B719" s="5"/>
      <c r="C719" s="5"/>
      <c r="D719" s="5"/>
      <c r="E719" s="3"/>
      <c r="F719" s="5"/>
      <c r="G719" s="5"/>
      <c r="H719" s="5"/>
      <c r="I719" s="3"/>
      <c r="J719" s="3"/>
      <c r="K719" s="3"/>
      <c r="L719" s="3"/>
      <c r="M719" s="3"/>
      <c r="N719" s="3"/>
      <c r="O719" s="3"/>
      <c r="P719" s="3"/>
      <c r="Q719" s="3"/>
      <c r="R719" s="3"/>
      <c r="S719" s="3"/>
      <c r="T719" s="3"/>
      <c r="U719" s="3"/>
      <c r="V719" s="3"/>
      <c r="W719" s="3"/>
      <c r="X719" s="3"/>
      <c r="Y719" s="3"/>
    </row>
    <row r="720">
      <c r="A720" s="5"/>
      <c r="B720" s="5"/>
      <c r="C720" s="5"/>
      <c r="D720" s="5"/>
      <c r="E720" s="3"/>
      <c r="F720" s="5"/>
      <c r="G720" s="5"/>
      <c r="H720" s="5"/>
      <c r="I720" s="3"/>
      <c r="J720" s="3"/>
      <c r="K720" s="3"/>
      <c r="L720" s="3"/>
      <c r="M720" s="3"/>
      <c r="N720" s="3"/>
      <c r="O720" s="3"/>
      <c r="P720" s="3"/>
      <c r="Q720" s="3"/>
      <c r="R720" s="3"/>
      <c r="S720" s="3"/>
      <c r="T720" s="3"/>
      <c r="U720" s="3"/>
      <c r="V720" s="3"/>
      <c r="W720" s="3"/>
      <c r="X720" s="3"/>
      <c r="Y720" s="3"/>
    </row>
    <row r="721">
      <c r="A721" s="5"/>
      <c r="B721" s="5"/>
      <c r="C721" s="5"/>
      <c r="D721" s="5"/>
      <c r="E721" s="3"/>
      <c r="F721" s="5"/>
      <c r="G721" s="5"/>
      <c r="H721" s="5"/>
      <c r="I721" s="3"/>
      <c r="J721" s="3"/>
      <c r="K721" s="3"/>
      <c r="L721" s="3"/>
      <c r="M721" s="3"/>
      <c r="N721" s="3"/>
      <c r="O721" s="3"/>
      <c r="P721" s="3"/>
      <c r="Q721" s="3"/>
      <c r="R721" s="3"/>
      <c r="S721" s="3"/>
      <c r="T721" s="3"/>
      <c r="U721" s="3"/>
      <c r="V721" s="3"/>
      <c r="W721" s="3"/>
      <c r="X721" s="3"/>
      <c r="Y721" s="3"/>
    </row>
    <row r="722">
      <c r="A722" s="5"/>
      <c r="B722" s="5"/>
      <c r="C722" s="5"/>
      <c r="D722" s="5"/>
      <c r="E722" s="3"/>
      <c r="F722" s="5"/>
      <c r="G722" s="5"/>
      <c r="H722" s="5"/>
      <c r="I722" s="3"/>
      <c r="J722" s="3"/>
      <c r="K722" s="3"/>
      <c r="L722" s="3"/>
      <c r="M722" s="3"/>
      <c r="N722" s="3"/>
      <c r="O722" s="3"/>
      <c r="P722" s="3"/>
      <c r="Q722" s="3"/>
      <c r="R722" s="3"/>
      <c r="S722" s="3"/>
      <c r="T722" s="3"/>
      <c r="U722" s="3"/>
      <c r="V722" s="3"/>
      <c r="W722" s="3"/>
      <c r="X722" s="3"/>
      <c r="Y722" s="3"/>
    </row>
    <row r="723">
      <c r="A723" s="5"/>
      <c r="B723" s="5"/>
      <c r="C723" s="5"/>
      <c r="D723" s="5"/>
      <c r="E723" s="3"/>
      <c r="F723" s="5"/>
      <c r="G723" s="5"/>
      <c r="H723" s="5"/>
      <c r="I723" s="3"/>
      <c r="J723" s="3"/>
      <c r="K723" s="3"/>
      <c r="L723" s="3"/>
      <c r="M723" s="3"/>
      <c r="N723" s="3"/>
      <c r="O723" s="3"/>
      <c r="P723" s="3"/>
      <c r="Q723" s="3"/>
      <c r="R723" s="3"/>
      <c r="S723" s="3"/>
      <c r="T723" s="3"/>
      <c r="U723" s="3"/>
      <c r="V723" s="3"/>
      <c r="W723" s="3"/>
      <c r="X723" s="3"/>
      <c r="Y723" s="3"/>
    </row>
    <row r="724">
      <c r="A724" s="5"/>
      <c r="B724" s="5"/>
      <c r="C724" s="5"/>
      <c r="D724" s="5"/>
      <c r="E724" s="3"/>
      <c r="F724" s="5"/>
      <c r="G724" s="5"/>
      <c r="H724" s="5"/>
      <c r="I724" s="3"/>
      <c r="J724" s="3"/>
      <c r="K724" s="3"/>
      <c r="L724" s="3"/>
      <c r="M724" s="3"/>
      <c r="N724" s="3"/>
      <c r="O724" s="3"/>
      <c r="P724" s="3"/>
      <c r="Q724" s="3"/>
      <c r="R724" s="3"/>
      <c r="S724" s="3"/>
      <c r="T724" s="3"/>
      <c r="U724" s="3"/>
      <c r="V724" s="3"/>
      <c r="W724" s="3"/>
      <c r="X724" s="3"/>
      <c r="Y724" s="3"/>
    </row>
    <row r="725">
      <c r="A725" s="5"/>
      <c r="B725" s="5"/>
      <c r="C725" s="5"/>
      <c r="D725" s="5"/>
      <c r="E725" s="3"/>
      <c r="F725" s="5"/>
      <c r="G725" s="5"/>
      <c r="H725" s="5"/>
      <c r="I725" s="3"/>
      <c r="J725" s="3"/>
      <c r="K725" s="3"/>
      <c r="L725" s="3"/>
      <c r="M725" s="3"/>
      <c r="N725" s="3"/>
      <c r="O725" s="3"/>
      <c r="P725" s="3"/>
      <c r="Q725" s="3"/>
      <c r="R725" s="3"/>
      <c r="S725" s="3"/>
      <c r="T725" s="3"/>
      <c r="U725" s="3"/>
      <c r="V725" s="3"/>
      <c r="W725" s="3"/>
      <c r="X725" s="3"/>
      <c r="Y725" s="3"/>
    </row>
    <row r="726">
      <c r="A726" s="5"/>
      <c r="B726" s="5"/>
      <c r="C726" s="5"/>
      <c r="D726" s="5"/>
      <c r="E726" s="3"/>
      <c r="F726" s="5"/>
      <c r="G726" s="5"/>
      <c r="H726" s="5"/>
      <c r="I726" s="3"/>
      <c r="J726" s="3"/>
      <c r="K726" s="3"/>
      <c r="L726" s="3"/>
      <c r="M726" s="3"/>
      <c r="N726" s="3"/>
      <c r="O726" s="3"/>
      <c r="P726" s="3"/>
      <c r="Q726" s="3"/>
      <c r="R726" s="3"/>
      <c r="S726" s="3"/>
      <c r="T726" s="3"/>
      <c r="U726" s="3"/>
      <c r="V726" s="3"/>
      <c r="W726" s="3"/>
      <c r="X726" s="3"/>
      <c r="Y726" s="3"/>
    </row>
    <row r="727">
      <c r="A727" s="5"/>
      <c r="B727" s="5"/>
      <c r="C727" s="5"/>
      <c r="D727" s="5"/>
      <c r="E727" s="3"/>
      <c r="F727" s="5"/>
      <c r="G727" s="5"/>
      <c r="H727" s="5"/>
      <c r="I727" s="3"/>
      <c r="J727" s="3"/>
      <c r="K727" s="3"/>
      <c r="L727" s="3"/>
      <c r="M727" s="3"/>
      <c r="N727" s="3"/>
      <c r="O727" s="3"/>
      <c r="P727" s="3"/>
      <c r="Q727" s="3"/>
      <c r="R727" s="3"/>
      <c r="S727" s="3"/>
      <c r="T727" s="3"/>
      <c r="U727" s="3"/>
      <c r="V727" s="3"/>
      <c r="W727" s="3"/>
      <c r="X727" s="3"/>
      <c r="Y727" s="3"/>
    </row>
    <row r="728">
      <c r="A728" s="5"/>
      <c r="B728" s="5"/>
      <c r="C728" s="5"/>
      <c r="D728" s="5"/>
      <c r="E728" s="3"/>
      <c r="F728" s="5"/>
      <c r="G728" s="5"/>
      <c r="H728" s="5"/>
      <c r="I728" s="3"/>
      <c r="J728" s="3"/>
      <c r="K728" s="3"/>
      <c r="L728" s="3"/>
      <c r="M728" s="3"/>
      <c r="N728" s="3"/>
      <c r="O728" s="3"/>
      <c r="P728" s="3"/>
      <c r="Q728" s="3"/>
      <c r="R728" s="3"/>
      <c r="S728" s="3"/>
      <c r="T728" s="3"/>
      <c r="U728" s="3"/>
      <c r="V728" s="3"/>
      <c r="W728" s="3"/>
      <c r="X728" s="3"/>
      <c r="Y728" s="3"/>
    </row>
    <row r="729">
      <c r="A729" s="5"/>
      <c r="B729" s="5"/>
      <c r="C729" s="5"/>
      <c r="D729" s="5"/>
      <c r="E729" s="3"/>
      <c r="F729" s="5"/>
      <c r="G729" s="5"/>
      <c r="H729" s="5"/>
      <c r="I729" s="3"/>
      <c r="J729" s="3"/>
      <c r="K729" s="3"/>
      <c r="L729" s="3"/>
      <c r="M729" s="3"/>
      <c r="N729" s="3"/>
      <c r="O729" s="3"/>
      <c r="P729" s="3"/>
      <c r="Q729" s="3"/>
      <c r="R729" s="3"/>
      <c r="S729" s="3"/>
      <c r="T729" s="3"/>
      <c r="U729" s="3"/>
      <c r="V729" s="3"/>
      <c r="W729" s="3"/>
      <c r="X729" s="3"/>
      <c r="Y729" s="3"/>
    </row>
    <row r="730">
      <c r="A730" s="5"/>
      <c r="B730" s="5"/>
      <c r="C730" s="5"/>
      <c r="D730" s="5"/>
      <c r="E730" s="3"/>
      <c r="F730" s="5"/>
      <c r="G730" s="5"/>
      <c r="H730" s="5"/>
      <c r="I730" s="3"/>
      <c r="J730" s="3"/>
      <c r="K730" s="3"/>
      <c r="L730" s="3"/>
      <c r="M730" s="3"/>
      <c r="N730" s="3"/>
      <c r="O730" s="3"/>
      <c r="P730" s="3"/>
      <c r="Q730" s="3"/>
      <c r="R730" s="3"/>
      <c r="S730" s="3"/>
      <c r="T730" s="3"/>
      <c r="U730" s="3"/>
      <c r="V730" s="3"/>
      <c r="W730" s="3"/>
      <c r="X730" s="3"/>
      <c r="Y730" s="3"/>
    </row>
    <row r="731">
      <c r="A731" s="5"/>
      <c r="B731" s="5"/>
      <c r="C731" s="5"/>
      <c r="D731" s="5"/>
      <c r="E731" s="3"/>
      <c r="F731" s="5"/>
      <c r="G731" s="5"/>
      <c r="H731" s="5"/>
      <c r="I731" s="3"/>
      <c r="J731" s="3"/>
      <c r="K731" s="3"/>
      <c r="L731" s="3"/>
      <c r="M731" s="3"/>
      <c r="N731" s="3"/>
      <c r="O731" s="3"/>
      <c r="P731" s="3"/>
      <c r="Q731" s="3"/>
      <c r="R731" s="3"/>
      <c r="S731" s="3"/>
      <c r="T731" s="3"/>
      <c r="U731" s="3"/>
      <c r="V731" s="3"/>
      <c r="W731" s="3"/>
      <c r="X731" s="3"/>
      <c r="Y731" s="3"/>
    </row>
    <row r="732">
      <c r="A732" s="5"/>
      <c r="B732" s="5"/>
      <c r="C732" s="5"/>
      <c r="D732" s="5"/>
      <c r="E732" s="3"/>
      <c r="F732" s="5"/>
      <c r="G732" s="5"/>
      <c r="H732" s="5"/>
      <c r="I732" s="3"/>
      <c r="J732" s="3"/>
      <c r="K732" s="3"/>
      <c r="L732" s="3"/>
      <c r="M732" s="3"/>
      <c r="N732" s="3"/>
      <c r="O732" s="3"/>
      <c r="P732" s="3"/>
      <c r="Q732" s="3"/>
      <c r="R732" s="3"/>
      <c r="S732" s="3"/>
      <c r="T732" s="3"/>
      <c r="U732" s="3"/>
      <c r="V732" s="3"/>
      <c r="W732" s="3"/>
      <c r="X732" s="3"/>
      <c r="Y732" s="3"/>
    </row>
    <row r="733">
      <c r="A733" s="5"/>
      <c r="B733" s="5"/>
      <c r="C733" s="5"/>
      <c r="D733" s="5"/>
      <c r="E733" s="3"/>
      <c r="F733" s="5"/>
      <c r="G733" s="5"/>
      <c r="H733" s="5"/>
      <c r="I733" s="3"/>
      <c r="J733" s="3"/>
      <c r="K733" s="3"/>
      <c r="L733" s="3"/>
      <c r="M733" s="3"/>
      <c r="N733" s="3"/>
      <c r="O733" s="3"/>
      <c r="P733" s="3"/>
      <c r="Q733" s="3"/>
      <c r="R733" s="3"/>
      <c r="S733" s="3"/>
      <c r="T733" s="3"/>
      <c r="U733" s="3"/>
      <c r="V733" s="3"/>
      <c r="W733" s="3"/>
      <c r="X733" s="3"/>
      <c r="Y733" s="3"/>
    </row>
    <row r="734">
      <c r="A734" s="5"/>
      <c r="B734" s="5"/>
      <c r="C734" s="5"/>
      <c r="D734" s="5"/>
      <c r="E734" s="3"/>
      <c r="F734" s="5"/>
      <c r="G734" s="5"/>
      <c r="H734" s="5"/>
      <c r="I734" s="3"/>
      <c r="J734" s="3"/>
      <c r="K734" s="3"/>
      <c r="L734" s="3"/>
      <c r="M734" s="3"/>
      <c r="N734" s="3"/>
      <c r="O734" s="3"/>
      <c r="P734" s="3"/>
      <c r="Q734" s="3"/>
      <c r="R734" s="3"/>
      <c r="S734" s="3"/>
      <c r="T734" s="3"/>
      <c r="U734" s="3"/>
      <c r="V734" s="3"/>
      <c r="W734" s="3"/>
      <c r="X734" s="3"/>
      <c r="Y734" s="3"/>
    </row>
    <row r="735">
      <c r="A735" s="5"/>
      <c r="B735" s="5"/>
      <c r="C735" s="5"/>
      <c r="D735" s="5"/>
      <c r="E735" s="3"/>
      <c r="F735" s="5"/>
      <c r="G735" s="5"/>
      <c r="H735" s="5"/>
      <c r="I735" s="3"/>
      <c r="J735" s="3"/>
      <c r="K735" s="3"/>
      <c r="L735" s="3"/>
      <c r="M735" s="3"/>
      <c r="N735" s="3"/>
      <c r="O735" s="3"/>
      <c r="P735" s="3"/>
      <c r="Q735" s="3"/>
      <c r="R735" s="3"/>
      <c r="S735" s="3"/>
      <c r="T735" s="3"/>
      <c r="U735" s="3"/>
      <c r="V735" s="3"/>
      <c r="W735" s="3"/>
      <c r="X735" s="3"/>
      <c r="Y735" s="3"/>
    </row>
    <row r="736">
      <c r="A736" s="5"/>
      <c r="B736" s="5"/>
      <c r="C736" s="5"/>
      <c r="D736" s="5"/>
      <c r="E736" s="3"/>
      <c r="F736" s="5"/>
      <c r="G736" s="5"/>
      <c r="H736" s="5"/>
      <c r="I736" s="3"/>
      <c r="J736" s="3"/>
      <c r="K736" s="3"/>
      <c r="L736" s="3"/>
      <c r="M736" s="3"/>
      <c r="N736" s="3"/>
      <c r="O736" s="3"/>
      <c r="P736" s="3"/>
      <c r="Q736" s="3"/>
      <c r="R736" s="3"/>
      <c r="S736" s="3"/>
      <c r="T736" s="3"/>
      <c r="U736" s="3"/>
      <c r="V736" s="3"/>
      <c r="W736" s="3"/>
      <c r="X736" s="3"/>
      <c r="Y736" s="3"/>
    </row>
    <row r="737">
      <c r="A737" s="5"/>
      <c r="B737" s="5"/>
      <c r="C737" s="5"/>
      <c r="D737" s="5"/>
      <c r="E737" s="3"/>
      <c r="F737" s="5"/>
      <c r="G737" s="5"/>
      <c r="H737" s="5"/>
      <c r="I737" s="3"/>
      <c r="J737" s="3"/>
      <c r="K737" s="3"/>
      <c r="L737" s="3"/>
      <c r="M737" s="3"/>
      <c r="N737" s="3"/>
      <c r="O737" s="3"/>
      <c r="P737" s="3"/>
      <c r="Q737" s="3"/>
      <c r="R737" s="3"/>
      <c r="S737" s="3"/>
      <c r="T737" s="3"/>
      <c r="U737" s="3"/>
      <c r="V737" s="3"/>
      <c r="W737" s="3"/>
      <c r="X737" s="3"/>
      <c r="Y737" s="3"/>
    </row>
    <row r="738">
      <c r="A738" s="5"/>
      <c r="B738" s="5"/>
      <c r="C738" s="5"/>
      <c r="D738" s="5"/>
      <c r="E738" s="3"/>
      <c r="F738" s="5"/>
      <c r="G738" s="5"/>
      <c r="H738" s="5"/>
      <c r="I738" s="3"/>
      <c r="J738" s="3"/>
      <c r="K738" s="3"/>
      <c r="L738" s="3"/>
      <c r="M738" s="3"/>
      <c r="N738" s="3"/>
      <c r="O738" s="3"/>
      <c r="P738" s="3"/>
      <c r="Q738" s="3"/>
      <c r="R738" s="3"/>
      <c r="S738" s="3"/>
      <c r="T738" s="3"/>
      <c r="U738" s="3"/>
      <c r="V738" s="3"/>
      <c r="W738" s="3"/>
      <c r="X738" s="3"/>
      <c r="Y738" s="3"/>
    </row>
    <row r="739">
      <c r="A739" s="5"/>
      <c r="B739" s="5"/>
      <c r="C739" s="5"/>
      <c r="D739" s="5"/>
      <c r="E739" s="3"/>
      <c r="F739" s="5"/>
      <c r="G739" s="5"/>
      <c r="H739" s="5"/>
      <c r="I739" s="3"/>
      <c r="J739" s="3"/>
      <c r="K739" s="3"/>
      <c r="L739" s="3"/>
      <c r="M739" s="3"/>
      <c r="N739" s="3"/>
      <c r="O739" s="3"/>
      <c r="P739" s="3"/>
      <c r="Q739" s="3"/>
      <c r="R739" s="3"/>
      <c r="S739" s="3"/>
      <c r="T739" s="3"/>
      <c r="U739" s="3"/>
      <c r="V739" s="3"/>
      <c r="W739" s="3"/>
      <c r="X739" s="3"/>
      <c r="Y739" s="3"/>
    </row>
    <row r="740">
      <c r="A740" s="5"/>
      <c r="B740" s="5"/>
      <c r="C740" s="5"/>
      <c r="D740" s="5"/>
      <c r="E740" s="3"/>
      <c r="F740" s="5"/>
      <c r="G740" s="5"/>
      <c r="H740" s="5"/>
      <c r="I740" s="3"/>
      <c r="J740" s="3"/>
      <c r="K740" s="3"/>
      <c r="L740" s="3"/>
      <c r="M740" s="3"/>
      <c r="N740" s="3"/>
      <c r="O740" s="3"/>
      <c r="P740" s="3"/>
      <c r="Q740" s="3"/>
      <c r="R740" s="3"/>
      <c r="S740" s="3"/>
      <c r="T740" s="3"/>
      <c r="U740" s="3"/>
      <c r="V740" s="3"/>
      <c r="W740" s="3"/>
      <c r="X740" s="3"/>
      <c r="Y740" s="3"/>
    </row>
    <row r="741">
      <c r="A741" s="5"/>
      <c r="B741" s="5"/>
      <c r="C741" s="5"/>
      <c r="D741" s="5"/>
      <c r="E741" s="3"/>
      <c r="F741" s="5"/>
      <c r="G741" s="5"/>
      <c r="H741" s="5"/>
      <c r="I741" s="3"/>
      <c r="J741" s="3"/>
      <c r="K741" s="3"/>
      <c r="L741" s="3"/>
      <c r="M741" s="3"/>
      <c r="N741" s="3"/>
      <c r="O741" s="3"/>
      <c r="P741" s="3"/>
      <c r="Q741" s="3"/>
      <c r="R741" s="3"/>
      <c r="S741" s="3"/>
      <c r="T741" s="3"/>
      <c r="U741" s="3"/>
      <c r="V741" s="3"/>
      <c r="W741" s="3"/>
      <c r="X741" s="3"/>
      <c r="Y741" s="3"/>
    </row>
    <row r="742">
      <c r="A742" s="5"/>
      <c r="B742" s="5"/>
      <c r="C742" s="5"/>
      <c r="D742" s="5"/>
      <c r="E742" s="3"/>
      <c r="F742" s="5"/>
      <c r="G742" s="5"/>
      <c r="H742" s="5"/>
      <c r="I742" s="3"/>
      <c r="J742" s="3"/>
      <c r="K742" s="3"/>
      <c r="L742" s="3"/>
      <c r="M742" s="3"/>
      <c r="N742" s="3"/>
      <c r="O742" s="3"/>
      <c r="P742" s="3"/>
      <c r="Q742" s="3"/>
      <c r="R742" s="3"/>
      <c r="S742" s="3"/>
      <c r="T742" s="3"/>
      <c r="U742" s="3"/>
      <c r="V742" s="3"/>
      <c r="W742" s="3"/>
      <c r="X742" s="3"/>
      <c r="Y742" s="3"/>
    </row>
    <row r="743">
      <c r="A743" s="5"/>
      <c r="B743" s="5"/>
      <c r="C743" s="5"/>
      <c r="D743" s="5"/>
      <c r="E743" s="3"/>
      <c r="F743" s="5"/>
      <c r="G743" s="5"/>
      <c r="H743" s="5"/>
      <c r="I743" s="3"/>
      <c r="J743" s="3"/>
      <c r="K743" s="3"/>
      <c r="L743" s="3"/>
      <c r="M743" s="3"/>
      <c r="N743" s="3"/>
      <c r="O743" s="3"/>
      <c r="P743" s="3"/>
      <c r="Q743" s="3"/>
      <c r="R743" s="3"/>
      <c r="S743" s="3"/>
      <c r="T743" s="3"/>
      <c r="U743" s="3"/>
      <c r="V743" s="3"/>
      <c r="W743" s="3"/>
      <c r="X743" s="3"/>
      <c r="Y743" s="3"/>
    </row>
    <row r="744">
      <c r="A744" s="5"/>
      <c r="B744" s="5"/>
      <c r="C744" s="5"/>
      <c r="D744" s="5"/>
      <c r="E744" s="3"/>
      <c r="F744" s="5"/>
      <c r="G744" s="5"/>
      <c r="H744" s="5"/>
      <c r="I744" s="3"/>
      <c r="J744" s="3"/>
      <c r="K744" s="3"/>
      <c r="L744" s="3"/>
      <c r="M744" s="3"/>
      <c r="N744" s="3"/>
      <c r="O744" s="3"/>
      <c r="P744" s="3"/>
      <c r="Q744" s="3"/>
      <c r="R744" s="3"/>
      <c r="S744" s="3"/>
      <c r="T744" s="3"/>
      <c r="U744" s="3"/>
      <c r="V744" s="3"/>
      <c r="W744" s="3"/>
      <c r="X744" s="3"/>
      <c r="Y744" s="3"/>
    </row>
    <row r="745">
      <c r="A745" s="5"/>
      <c r="B745" s="5"/>
      <c r="C745" s="5"/>
      <c r="D745" s="5"/>
      <c r="E745" s="3"/>
      <c r="F745" s="5"/>
      <c r="G745" s="5"/>
      <c r="H745" s="5"/>
      <c r="I745" s="3"/>
      <c r="J745" s="3"/>
      <c r="K745" s="3"/>
      <c r="L745" s="3"/>
      <c r="M745" s="3"/>
      <c r="N745" s="3"/>
      <c r="O745" s="3"/>
      <c r="P745" s="3"/>
      <c r="Q745" s="3"/>
      <c r="R745" s="3"/>
      <c r="S745" s="3"/>
      <c r="T745" s="3"/>
      <c r="U745" s="3"/>
      <c r="V745" s="3"/>
      <c r="W745" s="3"/>
      <c r="X745" s="3"/>
      <c r="Y745" s="3"/>
    </row>
    <row r="746">
      <c r="A746" s="5"/>
      <c r="B746" s="5"/>
      <c r="C746" s="5"/>
      <c r="D746" s="5"/>
      <c r="E746" s="3"/>
      <c r="F746" s="5"/>
      <c r="G746" s="5"/>
      <c r="H746" s="5"/>
      <c r="I746" s="3"/>
      <c r="J746" s="3"/>
      <c r="K746" s="3"/>
      <c r="L746" s="3"/>
      <c r="M746" s="3"/>
      <c r="N746" s="3"/>
      <c r="O746" s="3"/>
      <c r="P746" s="3"/>
      <c r="Q746" s="3"/>
      <c r="R746" s="3"/>
      <c r="S746" s="3"/>
      <c r="T746" s="3"/>
      <c r="U746" s="3"/>
      <c r="V746" s="3"/>
      <c r="W746" s="3"/>
      <c r="X746" s="3"/>
      <c r="Y746" s="3"/>
    </row>
    <row r="747">
      <c r="A747" s="5"/>
      <c r="B747" s="5"/>
      <c r="C747" s="5"/>
      <c r="D747" s="5"/>
      <c r="E747" s="3"/>
      <c r="F747" s="5"/>
      <c r="G747" s="5"/>
      <c r="H747" s="5"/>
      <c r="I747" s="3"/>
      <c r="J747" s="3"/>
      <c r="K747" s="3"/>
      <c r="L747" s="3"/>
      <c r="M747" s="3"/>
      <c r="N747" s="3"/>
      <c r="O747" s="3"/>
      <c r="P747" s="3"/>
      <c r="Q747" s="3"/>
      <c r="R747" s="3"/>
      <c r="S747" s="3"/>
      <c r="T747" s="3"/>
      <c r="U747" s="3"/>
      <c r="V747" s="3"/>
      <c r="W747" s="3"/>
      <c r="X747" s="3"/>
      <c r="Y747" s="3"/>
    </row>
    <row r="748">
      <c r="A748" s="5"/>
      <c r="B748" s="5"/>
      <c r="C748" s="5"/>
      <c r="D748" s="5"/>
      <c r="E748" s="3"/>
      <c r="F748" s="5"/>
      <c r="G748" s="5"/>
      <c r="H748" s="5"/>
      <c r="I748" s="3"/>
      <c r="J748" s="3"/>
      <c r="K748" s="3"/>
      <c r="L748" s="3"/>
      <c r="M748" s="3"/>
      <c r="N748" s="3"/>
      <c r="O748" s="3"/>
      <c r="P748" s="3"/>
      <c r="Q748" s="3"/>
      <c r="R748" s="3"/>
      <c r="S748" s="3"/>
      <c r="T748" s="3"/>
      <c r="U748" s="3"/>
      <c r="V748" s="3"/>
      <c r="W748" s="3"/>
      <c r="X748" s="3"/>
      <c r="Y748" s="3"/>
    </row>
    <row r="749">
      <c r="A749" s="5"/>
      <c r="B749" s="5"/>
      <c r="C749" s="5"/>
      <c r="D749" s="5"/>
      <c r="E749" s="3"/>
      <c r="F749" s="5"/>
      <c r="G749" s="5"/>
      <c r="H749" s="5"/>
      <c r="I749" s="3"/>
      <c r="J749" s="3"/>
      <c r="K749" s="3"/>
      <c r="L749" s="3"/>
      <c r="M749" s="3"/>
      <c r="N749" s="3"/>
      <c r="O749" s="3"/>
      <c r="P749" s="3"/>
      <c r="Q749" s="3"/>
      <c r="R749" s="3"/>
      <c r="S749" s="3"/>
      <c r="T749" s="3"/>
      <c r="U749" s="3"/>
      <c r="V749" s="3"/>
      <c r="W749" s="3"/>
      <c r="X749" s="3"/>
      <c r="Y749" s="3"/>
    </row>
    <row r="750">
      <c r="A750" s="5"/>
      <c r="B750" s="5"/>
      <c r="C750" s="5"/>
      <c r="D750" s="5"/>
      <c r="E750" s="3"/>
      <c r="F750" s="5"/>
      <c r="G750" s="5"/>
      <c r="H750" s="5"/>
      <c r="I750" s="3"/>
      <c r="J750" s="3"/>
      <c r="K750" s="3"/>
      <c r="L750" s="3"/>
      <c r="M750" s="3"/>
      <c r="N750" s="3"/>
      <c r="O750" s="3"/>
      <c r="P750" s="3"/>
      <c r="Q750" s="3"/>
      <c r="R750" s="3"/>
      <c r="S750" s="3"/>
      <c r="T750" s="3"/>
      <c r="U750" s="3"/>
      <c r="V750" s="3"/>
      <c r="W750" s="3"/>
      <c r="X750" s="3"/>
      <c r="Y750" s="3"/>
    </row>
    <row r="751">
      <c r="A751" s="5"/>
      <c r="B751" s="5"/>
      <c r="C751" s="5"/>
      <c r="D751" s="5"/>
      <c r="E751" s="3"/>
      <c r="F751" s="5"/>
      <c r="G751" s="5"/>
      <c r="H751" s="5"/>
      <c r="I751" s="3"/>
      <c r="J751" s="3"/>
      <c r="K751" s="3"/>
      <c r="L751" s="3"/>
      <c r="M751" s="3"/>
      <c r="N751" s="3"/>
      <c r="O751" s="3"/>
      <c r="P751" s="3"/>
      <c r="Q751" s="3"/>
      <c r="R751" s="3"/>
      <c r="S751" s="3"/>
      <c r="T751" s="3"/>
      <c r="U751" s="3"/>
      <c r="V751" s="3"/>
      <c r="W751" s="3"/>
      <c r="X751" s="3"/>
      <c r="Y751" s="3"/>
    </row>
    <row r="752">
      <c r="A752" s="5"/>
      <c r="B752" s="5"/>
      <c r="C752" s="5"/>
      <c r="D752" s="5"/>
      <c r="E752" s="3"/>
      <c r="F752" s="5"/>
      <c r="G752" s="5"/>
      <c r="H752" s="5"/>
      <c r="I752" s="3"/>
      <c r="J752" s="3"/>
      <c r="K752" s="3"/>
      <c r="L752" s="3"/>
      <c r="M752" s="3"/>
      <c r="N752" s="3"/>
      <c r="O752" s="3"/>
      <c r="P752" s="3"/>
      <c r="Q752" s="3"/>
      <c r="R752" s="3"/>
      <c r="S752" s="3"/>
      <c r="T752" s="3"/>
      <c r="U752" s="3"/>
      <c r="V752" s="3"/>
      <c r="W752" s="3"/>
      <c r="X752" s="3"/>
      <c r="Y752" s="3"/>
    </row>
    <row r="753">
      <c r="A753" s="5"/>
      <c r="B753" s="5"/>
      <c r="C753" s="5"/>
      <c r="D753" s="5"/>
      <c r="E753" s="3"/>
      <c r="F753" s="5"/>
      <c r="G753" s="5"/>
      <c r="H753" s="5"/>
      <c r="I753" s="3"/>
      <c r="J753" s="3"/>
      <c r="K753" s="3"/>
      <c r="L753" s="3"/>
      <c r="M753" s="3"/>
      <c r="N753" s="3"/>
      <c r="O753" s="3"/>
      <c r="P753" s="3"/>
      <c r="Q753" s="3"/>
      <c r="R753" s="3"/>
      <c r="S753" s="3"/>
      <c r="T753" s="3"/>
      <c r="U753" s="3"/>
      <c r="V753" s="3"/>
      <c r="W753" s="3"/>
      <c r="X753" s="3"/>
      <c r="Y753" s="3"/>
    </row>
    <row r="754">
      <c r="A754" s="5"/>
      <c r="B754" s="5"/>
      <c r="C754" s="5"/>
      <c r="D754" s="5"/>
      <c r="E754" s="3"/>
      <c r="F754" s="5"/>
      <c r="G754" s="5"/>
      <c r="H754" s="5"/>
      <c r="I754" s="3"/>
      <c r="J754" s="3"/>
      <c r="K754" s="3"/>
      <c r="L754" s="3"/>
      <c r="M754" s="3"/>
      <c r="N754" s="3"/>
      <c r="O754" s="3"/>
      <c r="P754" s="3"/>
      <c r="Q754" s="3"/>
      <c r="R754" s="3"/>
      <c r="S754" s="3"/>
      <c r="T754" s="3"/>
      <c r="U754" s="3"/>
      <c r="V754" s="3"/>
      <c r="W754" s="3"/>
      <c r="X754" s="3"/>
      <c r="Y754" s="3"/>
    </row>
    <row r="755">
      <c r="A755" s="5"/>
      <c r="B755" s="5"/>
      <c r="C755" s="5"/>
      <c r="D755" s="5"/>
      <c r="E755" s="3"/>
      <c r="F755" s="5"/>
      <c r="G755" s="5"/>
      <c r="H755" s="5"/>
      <c r="I755" s="3"/>
      <c r="J755" s="3"/>
      <c r="K755" s="3"/>
      <c r="L755" s="3"/>
      <c r="M755" s="3"/>
      <c r="N755" s="3"/>
      <c r="O755" s="3"/>
      <c r="P755" s="3"/>
      <c r="Q755" s="3"/>
      <c r="R755" s="3"/>
      <c r="S755" s="3"/>
      <c r="T755" s="3"/>
      <c r="U755" s="3"/>
      <c r="V755" s="3"/>
      <c r="W755" s="3"/>
      <c r="X755" s="3"/>
      <c r="Y755" s="3"/>
    </row>
    <row r="756">
      <c r="A756" s="5"/>
      <c r="B756" s="5"/>
      <c r="C756" s="5"/>
      <c r="D756" s="5"/>
      <c r="E756" s="3"/>
      <c r="F756" s="5"/>
      <c r="G756" s="5"/>
      <c r="H756" s="5"/>
      <c r="I756" s="3"/>
      <c r="J756" s="3"/>
      <c r="K756" s="3"/>
      <c r="L756" s="3"/>
      <c r="M756" s="3"/>
      <c r="N756" s="3"/>
      <c r="O756" s="3"/>
      <c r="P756" s="3"/>
      <c r="Q756" s="3"/>
      <c r="R756" s="3"/>
      <c r="S756" s="3"/>
      <c r="T756" s="3"/>
      <c r="U756" s="3"/>
      <c r="V756" s="3"/>
      <c r="W756" s="3"/>
      <c r="X756" s="3"/>
      <c r="Y756" s="3"/>
    </row>
    <row r="757">
      <c r="A757" s="5"/>
      <c r="B757" s="5"/>
      <c r="C757" s="5"/>
      <c r="D757" s="5"/>
      <c r="E757" s="3"/>
      <c r="F757" s="5"/>
      <c r="G757" s="5"/>
      <c r="H757" s="5"/>
      <c r="I757" s="3"/>
      <c r="J757" s="3"/>
      <c r="K757" s="3"/>
      <c r="L757" s="3"/>
      <c r="M757" s="3"/>
      <c r="N757" s="3"/>
      <c r="O757" s="3"/>
      <c r="P757" s="3"/>
      <c r="Q757" s="3"/>
      <c r="R757" s="3"/>
      <c r="S757" s="3"/>
      <c r="T757" s="3"/>
      <c r="U757" s="3"/>
      <c r="V757" s="3"/>
      <c r="W757" s="3"/>
      <c r="X757" s="3"/>
      <c r="Y757" s="3"/>
    </row>
    <row r="758">
      <c r="A758" s="5"/>
      <c r="B758" s="5"/>
      <c r="C758" s="5"/>
      <c r="D758" s="5"/>
      <c r="E758" s="3"/>
      <c r="F758" s="5"/>
      <c r="G758" s="5"/>
      <c r="H758" s="5"/>
      <c r="I758" s="3"/>
      <c r="J758" s="3"/>
      <c r="K758" s="3"/>
      <c r="L758" s="3"/>
      <c r="M758" s="3"/>
      <c r="N758" s="3"/>
      <c r="O758" s="3"/>
      <c r="P758" s="3"/>
      <c r="Q758" s="3"/>
      <c r="R758" s="3"/>
      <c r="S758" s="3"/>
      <c r="T758" s="3"/>
      <c r="U758" s="3"/>
      <c r="V758" s="3"/>
      <c r="W758" s="3"/>
      <c r="X758" s="3"/>
      <c r="Y758" s="3"/>
    </row>
    <row r="759">
      <c r="A759" s="5"/>
      <c r="B759" s="5"/>
      <c r="C759" s="5"/>
      <c r="D759" s="5"/>
      <c r="E759" s="3"/>
      <c r="F759" s="5"/>
      <c r="G759" s="5"/>
      <c r="H759" s="5"/>
      <c r="I759" s="3"/>
      <c r="J759" s="3"/>
      <c r="K759" s="3"/>
      <c r="L759" s="3"/>
      <c r="M759" s="3"/>
      <c r="N759" s="3"/>
      <c r="O759" s="3"/>
      <c r="P759" s="3"/>
      <c r="Q759" s="3"/>
      <c r="R759" s="3"/>
      <c r="S759" s="3"/>
      <c r="T759" s="3"/>
      <c r="U759" s="3"/>
      <c r="V759" s="3"/>
      <c r="W759" s="3"/>
      <c r="X759" s="3"/>
      <c r="Y759" s="3"/>
    </row>
    <row r="760">
      <c r="A760" s="5"/>
      <c r="B760" s="5"/>
      <c r="C760" s="5"/>
      <c r="D760" s="5"/>
      <c r="E760" s="3"/>
      <c r="F760" s="5"/>
      <c r="G760" s="5"/>
      <c r="H760" s="5"/>
      <c r="I760" s="3"/>
      <c r="J760" s="3"/>
      <c r="K760" s="3"/>
      <c r="L760" s="3"/>
      <c r="M760" s="3"/>
      <c r="N760" s="3"/>
      <c r="O760" s="3"/>
      <c r="P760" s="3"/>
      <c r="Q760" s="3"/>
      <c r="R760" s="3"/>
      <c r="S760" s="3"/>
      <c r="T760" s="3"/>
      <c r="U760" s="3"/>
      <c r="V760" s="3"/>
      <c r="W760" s="3"/>
      <c r="X760" s="3"/>
      <c r="Y760" s="3"/>
    </row>
    <row r="761">
      <c r="A761" s="5"/>
      <c r="B761" s="5"/>
      <c r="C761" s="5"/>
      <c r="D761" s="5"/>
      <c r="E761" s="3"/>
      <c r="F761" s="5"/>
      <c r="G761" s="5"/>
      <c r="H761" s="5"/>
      <c r="I761" s="3"/>
      <c r="J761" s="3"/>
      <c r="K761" s="3"/>
      <c r="L761" s="3"/>
      <c r="M761" s="3"/>
      <c r="N761" s="3"/>
      <c r="O761" s="3"/>
      <c r="P761" s="3"/>
      <c r="Q761" s="3"/>
      <c r="R761" s="3"/>
      <c r="S761" s="3"/>
      <c r="T761" s="3"/>
      <c r="U761" s="3"/>
      <c r="V761" s="3"/>
      <c r="W761" s="3"/>
      <c r="X761" s="3"/>
      <c r="Y761" s="3"/>
    </row>
    <row r="762">
      <c r="A762" s="5"/>
      <c r="B762" s="5"/>
      <c r="C762" s="5"/>
      <c r="D762" s="5"/>
      <c r="E762" s="3"/>
      <c r="F762" s="5"/>
      <c r="G762" s="5"/>
      <c r="H762" s="5"/>
      <c r="I762" s="3"/>
      <c r="J762" s="3"/>
      <c r="K762" s="3"/>
      <c r="L762" s="3"/>
      <c r="M762" s="3"/>
      <c r="N762" s="3"/>
      <c r="O762" s="3"/>
      <c r="P762" s="3"/>
      <c r="Q762" s="3"/>
      <c r="R762" s="3"/>
      <c r="S762" s="3"/>
      <c r="T762" s="3"/>
      <c r="U762" s="3"/>
      <c r="V762" s="3"/>
      <c r="W762" s="3"/>
      <c r="X762" s="3"/>
      <c r="Y762" s="3"/>
    </row>
    <row r="763">
      <c r="A763" s="5"/>
      <c r="B763" s="5"/>
      <c r="C763" s="5"/>
      <c r="D763" s="5"/>
      <c r="E763" s="3"/>
      <c r="F763" s="5"/>
      <c r="G763" s="5"/>
      <c r="H763" s="5"/>
      <c r="I763" s="3"/>
      <c r="J763" s="3"/>
      <c r="K763" s="3"/>
      <c r="L763" s="3"/>
      <c r="M763" s="3"/>
      <c r="N763" s="3"/>
      <c r="O763" s="3"/>
      <c r="P763" s="3"/>
      <c r="Q763" s="3"/>
      <c r="R763" s="3"/>
      <c r="S763" s="3"/>
      <c r="T763" s="3"/>
      <c r="U763" s="3"/>
      <c r="V763" s="3"/>
      <c r="W763" s="3"/>
      <c r="X763" s="3"/>
      <c r="Y763" s="3"/>
    </row>
    <row r="764">
      <c r="A764" s="5"/>
      <c r="B764" s="5"/>
      <c r="C764" s="5"/>
      <c r="D764" s="5"/>
      <c r="E764" s="3"/>
      <c r="F764" s="5"/>
      <c r="G764" s="5"/>
      <c r="H764" s="5"/>
      <c r="I764" s="3"/>
      <c r="J764" s="3"/>
      <c r="K764" s="3"/>
      <c r="L764" s="3"/>
      <c r="M764" s="3"/>
      <c r="N764" s="3"/>
      <c r="O764" s="3"/>
      <c r="P764" s="3"/>
      <c r="Q764" s="3"/>
      <c r="R764" s="3"/>
      <c r="S764" s="3"/>
      <c r="T764" s="3"/>
      <c r="U764" s="3"/>
      <c r="V764" s="3"/>
      <c r="W764" s="3"/>
      <c r="X764" s="3"/>
      <c r="Y764" s="3"/>
    </row>
    <row r="765">
      <c r="A765" s="5"/>
      <c r="B765" s="5"/>
      <c r="C765" s="5"/>
      <c r="D765" s="5"/>
      <c r="E765" s="3"/>
      <c r="F765" s="5"/>
      <c r="G765" s="5"/>
      <c r="H765" s="5"/>
      <c r="I765" s="3"/>
      <c r="J765" s="3"/>
      <c r="K765" s="3"/>
      <c r="L765" s="3"/>
      <c r="M765" s="3"/>
      <c r="N765" s="3"/>
      <c r="O765" s="3"/>
      <c r="P765" s="3"/>
      <c r="Q765" s="3"/>
      <c r="R765" s="3"/>
      <c r="S765" s="3"/>
      <c r="T765" s="3"/>
      <c r="U765" s="3"/>
      <c r="V765" s="3"/>
      <c r="W765" s="3"/>
      <c r="X765" s="3"/>
      <c r="Y765" s="3"/>
    </row>
    <row r="766">
      <c r="A766" s="5"/>
      <c r="B766" s="5"/>
      <c r="C766" s="5"/>
      <c r="D766" s="5"/>
      <c r="E766" s="3"/>
      <c r="F766" s="5"/>
      <c r="G766" s="5"/>
      <c r="H766" s="5"/>
      <c r="I766" s="3"/>
      <c r="J766" s="3"/>
      <c r="K766" s="3"/>
      <c r="L766" s="3"/>
      <c r="M766" s="3"/>
      <c r="N766" s="3"/>
      <c r="O766" s="3"/>
      <c r="P766" s="3"/>
      <c r="Q766" s="3"/>
      <c r="R766" s="3"/>
      <c r="S766" s="3"/>
      <c r="T766" s="3"/>
      <c r="U766" s="3"/>
      <c r="V766" s="3"/>
      <c r="W766" s="3"/>
      <c r="X766" s="3"/>
      <c r="Y766" s="3"/>
    </row>
    <row r="767">
      <c r="A767" s="5"/>
      <c r="B767" s="5"/>
      <c r="C767" s="5"/>
      <c r="D767" s="5"/>
      <c r="E767" s="3"/>
      <c r="F767" s="5"/>
      <c r="G767" s="5"/>
      <c r="H767" s="5"/>
      <c r="I767" s="3"/>
      <c r="J767" s="3"/>
      <c r="K767" s="3"/>
      <c r="L767" s="3"/>
      <c r="M767" s="3"/>
      <c r="N767" s="3"/>
      <c r="O767" s="3"/>
      <c r="P767" s="3"/>
      <c r="Q767" s="3"/>
      <c r="R767" s="3"/>
      <c r="S767" s="3"/>
      <c r="T767" s="3"/>
      <c r="U767" s="3"/>
      <c r="V767" s="3"/>
      <c r="W767" s="3"/>
      <c r="X767" s="3"/>
      <c r="Y767" s="3"/>
    </row>
    <row r="768">
      <c r="A768" s="5"/>
      <c r="B768" s="5"/>
      <c r="C768" s="5"/>
      <c r="D768" s="5"/>
      <c r="E768" s="3"/>
      <c r="F768" s="5"/>
      <c r="G768" s="5"/>
      <c r="H768" s="5"/>
      <c r="I768" s="3"/>
      <c r="J768" s="3"/>
      <c r="K768" s="3"/>
      <c r="L768" s="3"/>
      <c r="M768" s="3"/>
      <c r="N768" s="3"/>
      <c r="O768" s="3"/>
      <c r="P768" s="3"/>
      <c r="Q768" s="3"/>
      <c r="R768" s="3"/>
      <c r="S768" s="3"/>
      <c r="T768" s="3"/>
      <c r="U768" s="3"/>
      <c r="V768" s="3"/>
      <c r="W768" s="3"/>
      <c r="X768" s="3"/>
      <c r="Y768" s="3"/>
    </row>
    <row r="769">
      <c r="A769" s="5"/>
      <c r="B769" s="5"/>
      <c r="C769" s="5"/>
      <c r="D769" s="5"/>
      <c r="E769" s="3"/>
      <c r="F769" s="5"/>
      <c r="G769" s="5"/>
      <c r="H769" s="5"/>
      <c r="I769" s="3"/>
      <c r="J769" s="3"/>
      <c r="K769" s="3"/>
      <c r="L769" s="3"/>
      <c r="M769" s="3"/>
      <c r="N769" s="3"/>
      <c r="O769" s="3"/>
      <c r="P769" s="3"/>
      <c r="Q769" s="3"/>
      <c r="R769" s="3"/>
      <c r="S769" s="3"/>
      <c r="T769" s="3"/>
      <c r="U769" s="3"/>
      <c r="V769" s="3"/>
      <c r="W769" s="3"/>
      <c r="X769" s="3"/>
      <c r="Y769" s="3"/>
    </row>
    <row r="770">
      <c r="A770" s="5"/>
      <c r="B770" s="5"/>
      <c r="C770" s="5"/>
      <c r="D770" s="5"/>
      <c r="E770" s="3"/>
      <c r="F770" s="5"/>
      <c r="G770" s="5"/>
      <c r="H770" s="5"/>
      <c r="I770" s="3"/>
      <c r="J770" s="3"/>
      <c r="K770" s="3"/>
      <c r="L770" s="3"/>
      <c r="M770" s="3"/>
      <c r="N770" s="3"/>
      <c r="O770" s="3"/>
      <c r="P770" s="3"/>
      <c r="Q770" s="3"/>
      <c r="R770" s="3"/>
      <c r="S770" s="3"/>
      <c r="T770" s="3"/>
      <c r="U770" s="3"/>
      <c r="V770" s="3"/>
      <c r="W770" s="3"/>
      <c r="X770" s="3"/>
      <c r="Y770" s="3"/>
    </row>
    <row r="771">
      <c r="A771" s="5"/>
      <c r="B771" s="5"/>
      <c r="C771" s="5"/>
      <c r="D771" s="5"/>
      <c r="E771" s="3"/>
      <c r="F771" s="5"/>
      <c r="G771" s="5"/>
      <c r="H771" s="5"/>
      <c r="I771" s="3"/>
      <c r="J771" s="3"/>
      <c r="K771" s="3"/>
      <c r="L771" s="3"/>
      <c r="M771" s="3"/>
      <c r="N771" s="3"/>
      <c r="O771" s="3"/>
      <c r="P771" s="3"/>
      <c r="Q771" s="3"/>
      <c r="R771" s="3"/>
      <c r="S771" s="3"/>
      <c r="T771" s="3"/>
      <c r="U771" s="3"/>
      <c r="V771" s="3"/>
      <c r="W771" s="3"/>
      <c r="X771" s="3"/>
      <c r="Y771" s="3"/>
    </row>
    <row r="772">
      <c r="A772" s="5"/>
      <c r="B772" s="5"/>
      <c r="C772" s="5"/>
      <c r="D772" s="5"/>
      <c r="E772" s="3"/>
      <c r="F772" s="5"/>
      <c r="G772" s="5"/>
      <c r="H772" s="5"/>
      <c r="I772" s="3"/>
      <c r="J772" s="3"/>
      <c r="K772" s="3"/>
      <c r="L772" s="3"/>
      <c r="M772" s="3"/>
      <c r="N772" s="3"/>
      <c r="O772" s="3"/>
      <c r="P772" s="3"/>
      <c r="Q772" s="3"/>
      <c r="R772" s="3"/>
      <c r="S772" s="3"/>
      <c r="T772" s="3"/>
      <c r="U772" s="3"/>
      <c r="V772" s="3"/>
      <c r="W772" s="3"/>
      <c r="X772" s="3"/>
      <c r="Y772" s="3"/>
    </row>
    <row r="773">
      <c r="A773" s="5"/>
      <c r="B773" s="5"/>
      <c r="C773" s="5"/>
      <c r="D773" s="5"/>
      <c r="E773" s="3"/>
      <c r="F773" s="5"/>
      <c r="G773" s="5"/>
      <c r="H773" s="5"/>
      <c r="I773" s="3"/>
      <c r="J773" s="3"/>
      <c r="K773" s="3"/>
      <c r="L773" s="3"/>
      <c r="M773" s="3"/>
      <c r="N773" s="3"/>
      <c r="O773" s="3"/>
      <c r="P773" s="3"/>
      <c r="Q773" s="3"/>
      <c r="R773" s="3"/>
      <c r="S773" s="3"/>
      <c r="T773" s="3"/>
      <c r="U773" s="3"/>
      <c r="V773" s="3"/>
      <c r="W773" s="3"/>
      <c r="X773" s="3"/>
      <c r="Y773" s="3"/>
    </row>
    <row r="774">
      <c r="A774" s="5"/>
      <c r="B774" s="5"/>
      <c r="C774" s="5"/>
      <c r="D774" s="5"/>
      <c r="E774" s="3"/>
      <c r="F774" s="5"/>
      <c r="G774" s="5"/>
      <c r="H774" s="5"/>
      <c r="I774" s="3"/>
      <c r="J774" s="3"/>
      <c r="K774" s="3"/>
      <c r="L774" s="3"/>
      <c r="M774" s="3"/>
      <c r="N774" s="3"/>
      <c r="O774" s="3"/>
      <c r="P774" s="3"/>
      <c r="Q774" s="3"/>
      <c r="R774" s="3"/>
      <c r="S774" s="3"/>
      <c r="T774" s="3"/>
      <c r="U774" s="3"/>
      <c r="V774" s="3"/>
      <c r="W774" s="3"/>
      <c r="X774" s="3"/>
      <c r="Y774" s="3"/>
    </row>
    <row r="775">
      <c r="A775" s="5"/>
      <c r="B775" s="5"/>
      <c r="C775" s="5"/>
      <c r="D775" s="5"/>
      <c r="E775" s="3"/>
      <c r="F775" s="5"/>
      <c r="G775" s="5"/>
      <c r="H775" s="5"/>
      <c r="I775" s="3"/>
      <c r="J775" s="3"/>
      <c r="K775" s="3"/>
      <c r="L775" s="3"/>
      <c r="M775" s="3"/>
      <c r="N775" s="3"/>
      <c r="O775" s="3"/>
      <c r="P775" s="3"/>
      <c r="Q775" s="3"/>
      <c r="R775" s="3"/>
      <c r="S775" s="3"/>
      <c r="T775" s="3"/>
      <c r="U775" s="3"/>
      <c r="V775" s="3"/>
      <c r="W775" s="3"/>
      <c r="X775" s="3"/>
      <c r="Y775" s="3"/>
    </row>
    <row r="776">
      <c r="A776" s="5"/>
      <c r="B776" s="5"/>
      <c r="C776" s="5"/>
      <c r="D776" s="5"/>
      <c r="E776" s="3"/>
      <c r="F776" s="5"/>
      <c r="G776" s="5"/>
      <c r="H776" s="5"/>
      <c r="I776" s="3"/>
      <c r="J776" s="3"/>
      <c r="K776" s="3"/>
      <c r="L776" s="3"/>
      <c r="M776" s="3"/>
      <c r="N776" s="3"/>
      <c r="O776" s="3"/>
      <c r="P776" s="3"/>
      <c r="Q776" s="3"/>
      <c r="R776" s="3"/>
      <c r="S776" s="3"/>
      <c r="T776" s="3"/>
      <c r="U776" s="3"/>
      <c r="V776" s="3"/>
      <c r="W776" s="3"/>
      <c r="X776" s="3"/>
      <c r="Y776" s="3"/>
    </row>
    <row r="777">
      <c r="A777" s="5"/>
      <c r="B777" s="5"/>
      <c r="C777" s="5"/>
      <c r="D777" s="5"/>
      <c r="E777" s="3"/>
      <c r="F777" s="5"/>
      <c r="G777" s="5"/>
      <c r="H777" s="5"/>
      <c r="I777" s="3"/>
      <c r="J777" s="3"/>
      <c r="K777" s="3"/>
      <c r="L777" s="3"/>
      <c r="M777" s="3"/>
      <c r="N777" s="3"/>
      <c r="O777" s="3"/>
      <c r="P777" s="3"/>
      <c r="Q777" s="3"/>
      <c r="R777" s="3"/>
      <c r="S777" s="3"/>
      <c r="T777" s="3"/>
      <c r="U777" s="3"/>
      <c r="V777" s="3"/>
      <c r="W777" s="3"/>
      <c r="X777" s="3"/>
      <c r="Y777" s="3"/>
    </row>
    <row r="778">
      <c r="A778" s="5"/>
      <c r="B778" s="5"/>
      <c r="C778" s="5"/>
      <c r="D778" s="5"/>
      <c r="E778" s="3"/>
      <c r="F778" s="5"/>
      <c r="G778" s="5"/>
      <c r="H778" s="5"/>
      <c r="I778" s="3"/>
      <c r="J778" s="3"/>
      <c r="K778" s="3"/>
      <c r="L778" s="3"/>
      <c r="M778" s="3"/>
      <c r="N778" s="3"/>
      <c r="O778" s="3"/>
      <c r="P778" s="3"/>
      <c r="Q778" s="3"/>
      <c r="R778" s="3"/>
      <c r="S778" s="3"/>
      <c r="T778" s="3"/>
      <c r="U778" s="3"/>
      <c r="V778" s="3"/>
      <c r="W778" s="3"/>
      <c r="X778" s="3"/>
      <c r="Y778" s="3"/>
    </row>
    <row r="779">
      <c r="A779" s="5"/>
      <c r="B779" s="5"/>
      <c r="C779" s="5"/>
      <c r="D779" s="5"/>
      <c r="E779" s="3"/>
      <c r="F779" s="5"/>
      <c r="G779" s="5"/>
      <c r="H779" s="5"/>
      <c r="I779" s="3"/>
      <c r="J779" s="3"/>
      <c r="K779" s="3"/>
      <c r="L779" s="3"/>
      <c r="M779" s="3"/>
      <c r="N779" s="3"/>
      <c r="O779" s="3"/>
      <c r="P779" s="3"/>
      <c r="Q779" s="3"/>
      <c r="R779" s="3"/>
      <c r="S779" s="3"/>
      <c r="T779" s="3"/>
      <c r="U779" s="3"/>
      <c r="V779" s="3"/>
      <c r="W779" s="3"/>
      <c r="X779" s="3"/>
      <c r="Y779" s="3"/>
    </row>
    <row r="780">
      <c r="A780" s="5"/>
      <c r="B780" s="5"/>
      <c r="C780" s="5"/>
      <c r="D780" s="5"/>
      <c r="E780" s="3"/>
      <c r="F780" s="5"/>
      <c r="G780" s="5"/>
      <c r="H780" s="5"/>
      <c r="I780" s="3"/>
      <c r="J780" s="3"/>
      <c r="K780" s="3"/>
      <c r="L780" s="3"/>
      <c r="M780" s="3"/>
      <c r="N780" s="3"/>
      <c r="O780" s="3"/>
      <c r="P780" s="3"/>
      <c r="Q780" s="3"/>
      <c r="R780" s="3"/>
      <c r="S780" s="3"/>
      <c r="T780" s="3"/>
      <c r="U780" s="3"/>
      <c r="V780" s="3"/>
      <c r="W780" s="3"/>
      <c r="X780" s="3"/>
      <c r="Y780" s="3"/>
    </row>
    <row r="781">
      <c r="A781" s="5"/>
      <c r="B781" s="5"/>
      <c r="C781" s="5"/>
      <c r="D781" s="5"/>
      <c r="E781" s="3"/>
      <c r="F781" s="5"/>
      <c r="G781" s="5"/>
      <c r="H781" s="5"/>
      <c r="I781" s="3"/>
      <c r="J781" s="3"/>
      <c r="K781" s="3"/>
      <c r="L781" s="3"/>
      <c r="M781" s="3"/>
      <c r="N781" s="3"/>
      <c r="O781" s="3"/>
      <c r="P781" s="3"/>
      <c r="Q781" s="3"/>
      <c r="R781" s="3"/>
      <c r="S781" s="3"/>
      <c r="T781" s="3"/>
      <c r="U781" s="3"/>
      <c r="V781" s="3"/>
      <c r="W781" s="3"/>
      <c r="X781" s="3"/>
      <c r="Y781" s="3"/>
    </row>
    <row r="782">
      <c r="A782" s="5"/>
      <c r="B782" s="5"/>
      <c r="C782" s="5"/>
      <c r="D782" s="5"/>
      <c r="E782" s="3"/>
      <c r="F782" s="5"/>
      <c r="G782" s="5"/>
      <c r="H782" s="5"/>
      <c r="I782" s="3"/>
      <c r="J782" s="3"/>
      <c r="K782" s="3"/>
      <c r="L782" s="3"/>
      <c r="M782" s="3"/>
      <c r="N782" s="3"/>
      <c r="O782" s="3"/>
      <c r="P782" s="3"/>
      <c r="Q782" s="3"/>
      <c r="R782" s="3"/>
      <c r="S782" s="3"/>
      <c r="T782" s="3"/>
      <c r="U782" s="3"/>
      <c r="V782" s="3"/>
      <c r="W782" s="3"/>
      <c r="X782" s="3"/>
      <c r="Y782" s="3"/>
    </row>
    <row r="783">
      <c r="A783" s="5"/>
      <c r="B783" s="5"/>
      <c r="C783" s="5"/>
      <c r="D783" s="5"/>
      <c r="E783" s="3"/>
      <c r="F783" s="5"/>
      <c r="G783" s="5"/>
      <c r="H783" s="5"/>
      <c r="I783" s="3"/>
      <c r="J783" s="3"/>
      <c r="K783" s="3"/>
      <c r="L783" s="3"/>
      <c r="M783" s="3"/>
      <c r="N783" s="3"/>
      <c r="O783" s="3"/>
      <c r="P783" s="3"/>
      <c r="Q783" s="3"/>
      <c r="R783" s="3"/>
      <c r="S783" s="3"/>
      <c r="T783" s="3"/>
      <c r="U783" s="3"/>
      <c r="V783" s="3"/>
      <c r="W783" s="3"/>
      <c r="X783" s="3"/>
      <c r="Y783" s="3"/>
    </row>
    <row r="784">
      <c r="A784" s="5"/>
      <c r="B784" s="5"/>
      <c r="C784" s="5"/>
      <c r="D784" s="5"/>
      <c r="E784" s="3"/>
      <c r="F784" s="5"/>
      <c r="G784" s="5"/>
      <c r="H784" s="5"/>
      <c r="I784" s="3"/>
      <c r="J784" s="3"/>
      <c r="K784" s="3"/>
      <c r="L784" s="3"/>
      <c r="M784" s="3"/>
      <c r="N784" s="3"/>
      <c r="O784" s="3"/>
      <c r="P784" s="3"/>
      <c r="Q784" s="3"/>
      <c r="R784" s="3"/>
      <c r="S784" s="3"/>
      <c r="T784" s="3"/>
      <c r="U784" s="3"/>
      <c r="V784" s="3"/>
      <c r="W784" s="3"/>
      <c r="X784" s="3"/>
      <c r="Y784" s="3"/>
    </row>
    <row r="785">
      <c r="A785" s="5"/>
      <c r="B785" s="5"/>
      <c r="C785" s="5"/>
      <c r="D785" s="5"/>
      <c r="E785" s="3"/>
      <c r="F785" s="5"/>
      <c r="G785" s="5"/>
      <c r="H785" s="5"/>
      <c r="I785" s="3"/>
      <c r="J785" s="3"/>
      <c r="K785" s="3"/>
      <c r="L785" s="3"/>
      <c r="M785" s="3"/>
      <c r="N785" s="3"/>
      <c r="O785" s="3"/>
      <c r="P785" s="3"/>
      <c r="Q785" s="3"/>
      <c r="R785" s="3"/>
      <c r="S785" s="3"/>
      <c r="T785" s="3"/>
      <c r="U785" s="3"/>
      <c r="V785" s="3"/>
      <c r="W785" s="3"/>
      <c r="X785" s="3"/>
      <c r="Y785" s="3"/>
    </row>
    <row r="786">
      <c r="A786" s="5"/>
      <c r="B786" s="5"/>
      <c r="C786" s="5"/>
      <c r="D786" s="5"/>
      <c r="E786" s="3"/>
      <c r="F786" s="5"/>
      <c r="G786" s="5"/>
      <c r="H786" s="5"/>
      <c r="I786" s="3"/>
      <c r="J786" s="3"/>
      <c r="K786" s="3"/>
      <c r="L786" s="3"/>
      <c r="M786" s="3"/>
      <c r="N786" s="3"/>
      <c r="O786" s="3"/>
      <c r="P786" s="3"/>
      <c r="Q786" s="3"/>
      <c r="R786" s="3"/>
      <c r="S786" s="3"/>
      <c r="T786" s="3"/>
      <c r="U786" s="3"/>
      <c r="V786" s="3"/>
      <c r="W786" s="3"/>
      <c r="X786" s="3"/>
      <c r="Y786" s="3"/>
    </row>
    <row r="787">
      <c r="A787" s="5"/>
      <c r="B787" s="5"/>
      <c r="C787" s="5"/>
      <c r="D787" s="5"/>
      <c r="E787" s="3"/>
      <c r="F787" s="5"/>
      <c r="G787" s="5"/>
      <c r="H787" s="5"/>
      <c r="I787" s="3"/>
      <c r="J787" s="3"/>
      <c r="K787" s="3"/>
      <c r="L787" s="3"/>
      <c r="M787" s="3"/>
      <c r="N787" s="3"/>
      <c r="O787" s="3"/>
      <c r="P787" s="3"/>
      <c r="Q787" s="3"/>
      <c r="R787" s="3"/>
      <c r="S787" s="3"/>
      <c r="T787" s="3"/>
      <c r="U787" s="3"/>
      <c r="V787" s="3"/>
      <c r="W787" s="3"/>
      <c r="X787" s="3"/>
      <c r="Y787" s="3"/>
    </row>
    <row r="788">
      <c r="A788" s="5"/>
      <c r="B788" s="5"/>
      <c r="C788" s="5"/>
      <c r="D788" s="5"/>
      <c r="E788" s="3"/>
      <c r="F788" s="5"/>
      <c r="G788" s="5"/>
      <c r="H788" s="5"/>
      <c r="I788" s="3"/>
      <c r="J788" s="3"/>
      <c r="K788" s="3"/>
      <c r="L788" s="3"/>
      <c r="M788" s="3"/>
      <c r="N788" s="3"/>
      <c r="O788" s="3"/>
      <c r="P788" s="3"/>
      <c r="Q788" s="3"/>
      <c r="R788" s="3"/>
      <c r="S788" s="3"/>
      <c r="T788" s="3"/>
      <c r="U788" s="3"/>
      <c r="V788" s="3"/>
      <c r="W788" s="3"/>
      <c r="X788" s="3"/>
      <c r="Y788" s="3"/>
    </row>
    <row r="789">
      <c r="A789" s="5"/>
      <c r="B789" s="5"/>
      <c r="C789" s="5"/>
      <c r="D789" s="5"/>
      <c r="E789" s="3"/>
      <c r="F789" s="5"/>
      <c r="G789" s="5"/>
      <c r="H789" s="5"/>
      <c r="I789" s="3"/>
      <c r="J789" s="3"/>
      <c r="K789" s="3"/>
      <c r="L789" s="3"/>
      <c r="M789" s="3"/>
      <c r="N789" s="3"/>
      <c r="O789" s="3"/>
      <c r="P789" s="3"/>
      <c r="Q789" s="3"/>
      <c r="R789" s="3"/>
      <c r="S789" s="3"/>
      <c r="T789" s="3"/>
      <c r="U789" s="3"/>
      <c r="V789" s="3"/>
      <c r="W789" s="3"/>
      <c r="X789" s="3"/>
      <c r="Y789" s="3"/>
    </row>
    <row r="790">
      <c r="A790" s="5"/>
      <c r="B790" s="5"/>
      <c r="C790" s="5"/>
      <c r="D790" s="5"/>
      <c r="E790" s="3"/>
      <c r="F790" s="5"/>
      <c r="G790" s="5"/>
      <c r="H790" s="5"/>
      <c r="I790" s="3"/>
      <c r="J790" s="3"/>
      <c r="K790" s="3"/>
      <c r="L790" s="3"/>
      <c r="M790" s="3"/>
      <c r="N790" s="3"/>
      <c r="O790" s="3"/>
      <c r="P790" s="3"/>
      <c r="Q790" s="3"/>
      <c r="R790" s="3"/>
      <c r="S790" s="3"/>
      <c r="T790" s="3"/>
      <c r="U790" s="3"/>
      <c r="V790" s="3"/>
      <c r="W790" s="3"/>
      <c r="X790" s="3"/>
      <c r="Y790" s="3"/>
    </row>
    <row r="791">
      <c r="A791" s="5"/>
      <c r="B791" s="5"/>
      <c r="C791" s="5"/>
      <c r="D791" s="5"/>
      <c r="E791" s="3"/>
      <c r="F791" s="5"/>
      <c r="G791" s="5"/>
      <c r="H791" s="5"/>
      <c r="I791" s="3"/>
      <c r="J791" s="3"/>
      <c r="K791" s="3"/>
      <c r="L791" s="3"/>
      <c r="M791" s="3"/>
      <c r="N791" s="3"/>
      <c r="O791" s="3"/>
      <c r="P791" s="3"/>
      <c r="Q791" s="3"/>
      <c r="R791" s="3"/>
      <c r="S791" s="3"/>
      <c r="T791" s="3"/>
      <c r="U791" s="3"/>
      <c r="V791" s="3"/>
      <c r="W791" s="3"/>
      <c r="X791" s="3"/>
      <c r="Y791" s="3"/>
    </row>
    <row r="792">
      <c r="A792" s="5"/>
      <c r="B792" s="5"/>
      <c r="C792" s="5"/>
      <c r="D792" s="5"/>
      <c r="E792" s="3"/>
      <c r="F792" s="5"/>
      <c r="G792" s="5"/>
      <c r="H792" s="5"/>
      <c r="I792" s="3"/>
      <c r="J792" s="3"/>
      <c r="K792" s="3"/>
      <c r="L792" s="3"/>
      <c r="M792" s="3"/>
      <c r="N792" s="3"/>
      <c r="O792" s="3"/>
      <c r="P792" s="3"/>
      <c r="Q792" s="3"/>
      <c r="R792" s="3"/>
      <c r="S792" s="3"/>
      <c r="T792" s="3"/>
      <c r="U792" s="3"/>
      <c r="V792" s="3"/>
      <c r="W792" s="3"/>
      <c r="X792" s="3"/>
      <c r="Y792" s="3"/>
    </row>
    <row r="793">
      <c r="A793" s="5"/>
      <c r="B793" s="5"/>
      <c r="C793" s="5"/>
      <c r="D793" s="5"/>
      <c r="E793" s="3"/>
      <c r="F793" s="5"/>
      <c r="G793" s="5"/>
      <c r="H793" s="5"/>
      <c r="I793" s="3"/>
      <c r="J793" s="3"/>
      <c r="K793" s="3"/>
      <c r="L793" s="3"/>
      <c r="M793" s="3"/>
      <c r="N793" s="3"/>
      <c r="O793" s="3"/>
      <c r="P793" s="3"/>
      <c r="Q793" s="3"/>
      <c r="R793" s="3"/>
      <c r="S793" s="3"/>
      <c r="T793" s="3"/>
      <c r="U793" s="3"/>
      <c r="V793" s="3"/>
      <c r="W793" s="3"/>
      <c r="X793" s="3"/>
      <c r="Y793" s="3"/>
    </row>
    <row r="794">
      <c r="A794" s="5"/>
      <c r="B794" s="5"/>
      <c r="C794" s="5"/>
      <c r="D794" s="5"/>
      <c r="E794" s="3"/>
      <c r="F794" s="5"/>
      <c r="G794" s="5"/>
      <c r="H794" s="5"/>
      <c r="I794" s="3"/>
      <c r="J794" s="3"/>
      <c r="K794" s="3"/>
      <c r="L794" s="3"/>
      <c r="M794" s="3"/>
      <c r="N794" s="3"/>
      <c r="O794" s="3"/>
      <c r="P794" s="3"/>
      <c r="Q794" s="3"/>
      <c r="R794" s="3"/>
      <c r="S794" s="3"/>
      <c r="T794" s="3"/>
      <c r="U794" s="3"/>
      <c r="V794" s="3"/>
      <c r="W794" s="3"/>
      <c r="X794" s="3"/>
      <c r="Y794" s="3"/>
    </row>
    <row r="795">
      <c r="A795" s="5"/>
      <c r="B795" s="5"/>
      <c r="C795" s="5"/>
      <c r="D795" s="5"/>
      <c r="E795" s="3"/>
      <c r="F795" s="5"/>
      <c r="G795" s="5"/>
      <c r="H795" s="5"/>
      <c r="I795" s="3"/>
      <c r="J795" s="3"/>
      <c r="K795" s="3"/>
      <c r="L795" s="3"/>
      <c r="M795" s="3"/>
      <c r="N795" s="3"/>
      <c r="O795" s="3"/>
      <c r="P795" s="3"/>
      <c r="Q795" s="3"/>
      <c r="R795" s="3"/>
      <c r="S795" s="3"/>
      <c r="T795" s="3"/>
      <c r="U795" s="3"/>
      <c r="V795" s="3"/>
      <c r="W795" s="3"/>
      <c r="X795" s="3"/>
      <c r="Y795" s="3"/>
    </row>
    <row r="796">
      <c r="A796" s="5"/>
      <c r="B796" s="5"/>
      <c r="C796" s="5"/>
      <c r="D796" s="5"/>
      <c r="E796" s="3"/>
      <c r="F796" s="5"/>
      <c r="G796" s="5"/>
      <c r="H796" s="5"/>
      <c r="I796" s="3"/>
      <c r="J796" s="3"/>
      <c r="K796" s="3"/>
      <c r="L796" s="3"/>
      <c r="M796" s="3"/>
      <c r="N796" s="3"/>
      <c r="O796" s="3"/>
      <c r="P796" s="3"/>
      <c r="Q796" s="3"/>
      <c r="R796" s="3"/>
      <c r="S796" s="3"/>
      <c r="T796" s="3"/>
      <c r="U796" s="3"/>
      <c r="V796" s="3"/>
      <c r="W796" s="3"/>
      <c r="X796" s="3"/>
      <c r="Y796" s="3"/>
    </row>
    <row r="797">
      <c r="A797" s="5"/>
      <c r="B797" s="5"/>
      <c r="C797" s="5"/>
      <c r="D797" s="5"/>
      <c r="E797" s="3"/>
      <c r="F797" s="5"/>
      <c r="G797" s="5"/>
      <c r="H797" s="5"/>
      <c r="I797" s="3"/>
      <c r="J797" s="3"/>
      <c r="K797" s="3"/>
      <c r="L797" s="3"/>
      <c r="M797" s="3"/>
      <c r="N797" s="3"/>
      <c r="O797" s="3"/>
      <c r="P797" s="3"/>
      <c r="Q797" s="3"/>
      <c r="R797" s="3"/>
      <c r="S797" s="3"/>
      <c r="T797" s="3"/>
      <c r="U797" s="3"/>
      <c r="V797" s="3"/>
      <c r="W797" s="3"/>
      <c r="X797" s="3"/>
      <c r="Y797" s="3"/>
    </row>
    <row r="798">
      <c r="A798" s="5"/>
      <c r="B798" s="5"/>
      <c r="C798" s="5"/>
      <c r="D798" s="5"/>
      <c r="E798" s="3"/>
      <c r="F798" s="5"/>
      <c r="G798" s="5"/>
      <c r="H798" s="5"/>
      <c r="I798" s="3"/>
      <c r="J798" s="3"/>
      <c r="K798" s="3"/>
      <c r="L798" s="3"/>
      <c r="M798" s="3"/>
      <c r="N798" s="3"/>
      <c r="O798" s="3"/>
      <c r="P798" s="3"/>
      <c r="Q798" s="3"/>
      <c r="R798" s="3"/>
      <c r="S798" s="3"/>
      <c r="T798" s="3"/>
      <c r="U798" s="3"/>
      <c r="V798" s="3"/>
      <c r="W798" s="3"/>
      <c r="X798" s="3"/>
      <c r="Y798" s="3"/>
    </row>
    <row r="799">
      <c r="A799" s="5"/>
      <c r="B799" s="5"/>
      <c r="C799" s="5"/>
      <c r="D799" s="5"/>
      <c r="E799" s="3"/>
      <c r="F799" s="5"/>
      <c r="G799" s="5"/>
      <c r="H799" s="5"/>
      <c r="I799" s="3"/>
      <c r="J799" s="3"/>
      <c r="K799" s="3"/>
      <c r="L799" s="3"/>
      <c r="M799" s="3"/>
      <c r="N799" s="3"/>
      <c r="O799" s="3"/>
      <c r="P799" s="3"/>
      <c r="Q799" s="3"/>
      <c r="R799" s="3"/>
      <c r="S799" s="3"/>
      <c r="T799" s="3"/>
      <c r="U799" s="3"/>
      <c r="V799" s="3"/>
      <c r="W799" s="3"/>
      <c r="X799" s="3"/>
      <c r="Y799" s="3"/>
    </row>
    <row r="800">
      <c r="A800" s="5"/>
      <c r="B800" s="5"/>
      <c r="C800" s="5"/>
      <c r="D800" s="5"/>
      <c r="E800" s="3"/>
      <c r="F800" s="5"/>
      <c r="G800" s="5"/>
      <c r="H800" s="5"/>
      <c r="I800" s="3"/>
      <c r="J800" s="3"/>
      <c r="K800" s="3"/>
      <c r="L800" s="3"/>
      <c r="M800" s="3"/>
      <c r="N800" s="3"/>
      <c r="O800" s="3"/>
      <c r="P800" s="3"/>
      <c r="Q800" s="3"/>
      <c r="R800" s="3"/>
      <c r="S800" s="3"/>
      <c r="T800" s="3"/>
      <c r="U800" s="3"/>
      <c r="V800" s="3"/>
      <c r="W800" s="3"/>
      <c r="X800" s="3"/>
      <c r="Y800" s="3"/>
    </row>
    <row r="801">
      <c r="A801" s="5"/>
      <c r="B801" s="5"/>
      <c r="C801" s="5"/>
      <c r="D801" s="5"/>
      <c r="E801" s="3"/>
      <c r="F801" s="5"/>
      <c r="G801" s="5"/>
      <c r="H801" s="5"/>
      <c r="I801" s="3"/>
      <c r="J801" s="3"/>
      <c r="K801" s="3"/>
      <c r="L801" s="3"/>
      <c r="M801" s="3"/>
      <c r="N801" s="3"/>
      <c r="O801" s="3"/>
      <c r="P801" s="3"/>
      <c r="Q801" s="3"/>
      <c r="R801" s="3"/>
      <c r="S801" s="3"/>
      <c r="T801" s="3"/>
      <c r="U801" s="3"/>
      <c r="V801" s="3"/>
      <c r="W801" s="3"/>
      <c r="X801" s="3"/>
      <c r="Y801" s="3"/>
    </row>
    <row r="802">
      <c r="A802" s="5"/>
      <c r="B802" s="5"/>
      <c r="C802" s="5"/>
      <c r="D802" s="5"/>
      <c r="E802" s="3"/>
      <c r="F802" s="5"/>
      <c r="G802" s="5"/>
      <c r="H802" s="5"/>
      <c r="I802" s="3"/>
      <c r="J802" s="3"/>
      <c r="K802" s="3"/>
      <c r="L802" s="3"/>
      <c r="M802" s="3"/>
      <c r="N802" s="3"/>
      <c r="O802" s="3"/>
      <c r="P802" s="3"/>
      <c r="Q802" s="3"/>
      <c r="R802" s="3"/>
      <c r="S802" s="3"/>
      <c r="T802" s="3"/>
      <c r="U802" s="3"/>
      <c r="V802" s="3"/>
      <c r="W802" s="3"/>
      <c r="X802" s="3"/>
      <c r="Y802" s="3"/>
    </row>
    <row r="803">
      <c r="A803" s="5"/>
      <c r="B803" s="5"/>
      <c r="C803" s="5"/>
      <c r="D803" s="5"/>
      <c r="E803" s="3"/>
      <c r="F803" s="5"/>
      <c r="G803" s="5"/>
      <c r="H803" s="5"/>
      <c r="I803" s="3"/>
      <c r="J803" s="3"/>
      <c r="K803" s="3"/>
      <c r="L803" s="3"/>
      <c r="M803" s="3"/>
      <c r="N803" s="3"/>
      <c r="O803" s="3"/>
      <c r="P803" s="3"/>
      <c r="Q803" s="3"/>
      <c r="R803" s="3"/>
      <c r="S803" s="3"/>
      <c r="T803" s="3"/>
      <c r="U803" s="3"/>
      <c r="V803" s="3"/>
      <c r="W803" s="3"/>
      <c r="X803" s="3"/>
      <c r="Y803" s="3"/>
    </row>
    <row r="804">
      <c r="A804" s="5"/>
      <c r="B804" s="5"/>
      <c r="C804" s="5"/>
      <c r="D804" s="5"/>
      <c r="E804" s="3"/>
      <c r="F804" s="5"/>
      <c r="G804" s="5"/>
      <c r="H804" s="5"/>
      <c r="I804" s="3"/>
      <c r="J804" s="3"/>
      <c r="K804" s="3"/>
      <c r="L804" s="3"/>
      <c r="M804" s="3"/>
      <c r="N804" s="3"/>
      <c r="O804" s="3"/>
      <c r="P804" s="3"/>
      <c r="Q804" s="3"/>
      <c r="R804" s="3"/>
      <c r="S804" s="3"/>
      <c r="T804" s="3"/>
      <c r="U804" s="3"/>
      <c r="V804" s="3"/>
      <c r="W804" s="3"/>
      <c r="X804" s="3"/>
      <c r="Y804" s="3"/>
    </row>
    <row r="805">
      <c r="A805" s="5"/>
      <c r="B805" s="5"/>
      <c r="C805" s="5"/>
      <c r="D805" s="5"/>
      <c r="E805" s="3"/>
      <c r="F805" s="5"/>
      <c r="G805" s="5"/>
      <c r="H805" s="5"/>
      <c r="I805" s="3"/>
      <c r="J805" s="3"/>
      <c r="K805" s="3"/>
      <c r="L805" s="3"/>
      <c r="M805" s="3"/>
      <c r="N805" s="3"/>
      <c r="O805" s="3"/>
      <c r="P805" s="3"/>
      <c r="Q805" s="3"/>
      <c r="R805" s="3"/>
      <c r="S805" s="3"/>
      <c r="T805" s="3"/>
      <c r="U805" s="3"/>
      <c r="V805" s="3"/>
      <c r="W805" s="3"/>
      <c r="X805" s="3"/>
      <c r="Y805" s="3"/>
    </row>
    <row r="806">
      <c r="A806" s="5"/>
      <c r="B806" s="5"/>
      <c r="C806" s="5"/>
      <c r="D806" s="5"/>
      <c r="E806" s="3"/>
      <c r="F806" s="5"/>
      <c r="G806" s="5"/>
      <c r="H806" s="5"/>
      <c r="I806" s="3"/>
      <c r="J806" s="3"/>
      <c r="K806" s="3"/>
      <c r="L806" s="3"/>
      <c r="M806" s="3"/>
      <c r="N806" s="3"/>
      <c r="O806" s="3"/>
      <c r="P806" s="3"/>
      <c r="Q806" s="3"/>
      <c r="R806" s="3"/>
      <c r="S806" s="3"/>
      <c r="T806" s="3"/>
      <c r="U806" s="3"/>
      <c r="V806" s="3"/>
      <c r="W806" s="3"/>
      <c r="X806" s="3"/>
      <c r="Y806" s="3"/>
    </row>
    <row r="807">
      <c r="A807" s="5"/>
      <c r="B807" s="5"/>
      <c r="C807" s="5"/>
      <c r="D807" s="5"/>
      <c r="E807" s="3"/>
      <c r="F807" s="5"/>
      <c r="G807" s="5"/>
      <c r="H807" s="5"/>
      <c r="I807" s="3"/>
      <c r="J807" s="3"/>
      <c r="K807" s="3"/>
      <c r="L807" s="3"/>
      <c r="M807" s="3"/>
      <c r="N807" s="3"/>
      <c r="O807" s="3"/>
      <c r="P807" s="3"/>
      <c r="Q807" s="3"/>
      <c r="R807" s="3"/>
      <c r="S807" s="3"/>
      <c r="T807" s="3"/>
      <c r="U807" s="3"/>
      <c r="V807" s="3"/>
      <c r="W807" s="3"/>
      <c r="X807" s="3"/>
      <c r="Y807" s="3"/>
    </row>
    <row r="808">
      <c r="A808" s="5"/>
      <c r="B808" s="5"/>
      <c r="C808" s="5"/>
      <c r="D808" s="5"/>
      <c r="E808" s="3"/>
      <c r="F808" s="5"/>
      <c r="G808" s="5"/>
      <c r="H808" s="5"/>
      <c r="I808" s="3"/>
      <c r="J808" s="3"/>
      <c r="K808" s="3"/>
      <c r="L808" s="3"/>
      <c r="M808" s="3"/>
      <c r="N808" s="3"/>
      <c r="O808" s="3"/>
      <c r="P808" s="3"/>
      <c r="Q808" s="3"/>
      <c r="R808" s="3"/>
      <c r="S808" s="3"/>
      <c r="T808" s="3"/>
      <c r="U808" s="3"/>
      <c r="V808" s="3"/>
      <c r="W808" s="3"/>
      <c r="X808" s="3"/>
      <c r="Y808" s="3"/>
    </row>
    <row r="809">
      <c r="A809" s="5"/>
      <c r="B809" s="5"/>
      <c r="C809" s="5"/>
      <c r="D809" s="5"/>
      <c r="E809" s="3"/>
      <c r="F809" s="5"/>
      <c r="G809" s="5"/>
      <c r="H809" s="5"/>
      <c r="I809" s="3"/>
      <c r="J809" s="3"/>
      <c r="K809" s="3"/>
      <c r="L809" s="3"/>
      <c r="M809" s="3"/>
      <c r="N809" s="3"/>
      <c r="O809" s="3"/>
      <c r="P809" s="3"/>
      <c r="Q809" s="3"/>
      <c r="R809" s="3"/>
      <c r="S809" s="3"/>
      <c r="T809" s="3"/>
      <c r="U809" s="3"/>
      <c r="V809" s="3"/>
      <c r="W809" s="3"/>
      <c r="X809" s="3"/>
      <c r="Y809" s="3"/>
    </row>
    <row r="810">
      <c r="A810" s="5"/>
      <c r="B810" s="5"/>
      <c r="C810" s="5"/>
      <c r="D810" s="5"/>
      <c r="E810" s="3"/>
      <c r="F810" s="5"/>
      <c r="G810" s="5"/>
      <c r="H810" s="5"/>
      <c r="I810" s="3"/>
      <c r="J810" s="3"/>
      <c r="K810" s="3"/>
      <c r="L810" s="3"/>
      <c r="M810" s="3"/>
      <c r="N810" s="3"/>
      <c r="O810" s="3"/>
      <c r="P810" s="3"/>
      <c r="Q810" s="3"/>
      <c r="R810" s="3"/>
      <c r="S810" s="3"/>
      <c r="T810" s="3"/>
      <c r="U810" s="3"/>
      <c r="V810" s="3"/>
      <c r="W810" s="3"/>
      <c r="X810" s="3"/>
      <c r="Y810" s="3"/>
    </row>
    <row r="811">
      <c r="A811" s="5"/>
      <c r="B811" s="5"/>
      <c r="C811" s="5"/>
      <c r="D811" s="5"/>
      <c r="E811" s="3"/>
      <c r="F811" s="5"/>
      <c r="G811" s="5"/>
      <c r="H811" s="5"/>
      <c r="I811" s="3"/>
      <c r="J811" s="3"/>
      <c r="K811" s="3"/>
      <c r="L811" s="3"/>
      <c r="M811" s="3"/>
      <c r="N811" s="3"/>
      <c r="O811" s="3"/>
      <c r="P811" s="3"/>
      <c r="Q811" s="3"/>
      <c r="R811" s="3"/>
      <c r="S811" s="3"/>
      <c r="T811" s="3"/>
      <c r="U811" s="3"/>
      <c r="V811" s="3"/>
      <c r="W811" s="3"/>
      <c r="X811" s="3"/>
      <c r="Y811" s="3"/>
    </row>
    <row r="812">
      <c r="A812" s="5"/>
      <c r="B812" s="5"/>
      <c r="C812" s="5"/>
      <c r="D812" s="5"/>
      <c r="E812" s="3"/>
      <c r="F812" s="5"/>
      <c r="G812" s="5"/>
      <c r="H812" s="5"/>
      <c r="I812" s="3"/>
      <c r="J812" s="3"/>
      <c r="K812" s="3"/>
      <c r="L812" s="3"/>
      <c r="M812" s="3"/>
      <c r="N812" s="3"/>
      <c r="O812" s="3"/>
      <c r="P812" s="3"/>
      <c r="Q812" s="3"/>
      <c r="R812" s="3"/>
      <c r="S812" s="3"/>
      <c r="T812" s="3"/>
      <c r="U812" s="3"/>
      <c r="V812" s="3"/>
      <c r="W812" s="3"/>
      <c r="X812" s="3"/>
      <c r="Y812" s="3"/>
    </row>
    <row r="813">
      <c r="A813" s="5"/>
      <c r="B813" s="5"/>
      <c r="C813" s="5"/>
      <c r="D813" s="5"/>
      <c r="E813" s="3"/>
      <c r="F813" s="5"/>
      <c r="G813" s="5"/>
      <c r="H813" s="5"/>
      <c r="I813" s="3"/>
      <c r="J813" s="3"/>
      <c r="K813" s="3"/>
      <c r="L813" s="3"/>
      <c r="M813" s="3"/>
      <c r="N813" s="3"/>
      <c r="O813" s="3"/>
      <c r="P813" s="3"/>
      <c r="Q813" s="3"/>
      <c r="R813" s="3"/>
      <c r="S813" s="3"/>
      <c r="T813" s="3"/>
      <c r="U813" s="3"/>
      <c r="V813" s="3"/>
      <c r="W813" s="3"/>
      <c r="X813" s="3"/>
      <c r="Y813" s="3"/>
    </row>
    <row r="814">
      <c r="A814" s="5"/>
      <c r="B814" s="5"/>
      <c r="C814" s="5"/>
      <c r="D814" s="5"/>
      <c r="E814" s="3"/>
      <c r="F814" s="5"/>
      <c r="G814" s="5"/>
      <c r="H814" s="5"/>
      <c r="I814" s="3"/>
      <c r="J814" s="3"/>
      <c r="K814" s="3"/>
      <c r="L814" s="3"/>
      <c r="M814" s="3"/>
      <c r="N814" s="3"/>
      <c r="O814" s="3"/>
      <c r="P814" s="3"/>
      <c r="Q814" s="3"/>
      <c r="R814" s="3"/>
      <c r="S814" s="3"/>
      <c r="T814" s="3"/>
      <c r="U814" s="3"/>
      <c r="V814" s="3"/>
      <c r="W814" s="3"/>
      <c r="X814" s="3"/>
      <c r="Y814" s="3"/>
    </row>
    <row r="815">
      <c r="A815" s="5"/>
      <c r="B815" s="5"/>
      <c r="C815" s="5"/>
      <c r="D815" s="5"/>
      <c r="E815" s="3"/>
      <c r="F815" s="5"/>
      <c r="G815" s="5"/>
      <c r="H815" s="5"/>
      <c r="I815" s="3"/>
      <c r="J815" s="3"/>
      <c r="K815" s="3"/>
      <c r="L815" s="3"/>
      <c r="M815" s="3"/>
      <c r="N815" s="3"/>
      <c r="O815" s="3"/>
      <c r="P815" s="3"/>
      <c r="Q815" s="3"/>
      <c r="R815" s="3"/>
      <c r="S815" s="3"/>
      <c r="T815" s="3"/>
      <c r="U815" s="3"/>
      <c r="V815" s="3"/>
      <c r="W815" s="3"/>
      <c r="X815" s="3"/>
      <c r="Y815" s="3"/>
    </row>
    <row r="816">
      <c r="A816" s="5"/>
      <c r="B816" s="5"/>
      <c r="C816" s="5"/>
      <c r="D816" s="5"/>
      <c r="E816" s="3"/>
      <c r="F816" s="5"/>
      <c r="G816" s="5"/>
      <c r="H816" s="5"/>
      <c r="I816" s="3"/>
      <c r="J816" s="3"/>
      <c r="K816" s="3"/>
      <c r="L816" s="3"/>
      <c r="M816" s="3"/>
      <c r="N816" s="3"/>
      <c r="O816" s="3"/>
      <c r="P816" s="3"/>
      <c r="Q816" s="3"/>
      <c r="R816" s="3"/>
      <c r="S816" s="3"/>
      <c r="T816" s="3"/>
      <c r="U816" s="3"/>
      <c r="V816" s="3"/>
      <c r="W816" s="3"/>
      <c r="X816" s="3"/>
      <c r="Y816" s="3"/>
    </row>
    <row r="817">
      <c r="A817" s="5"/>
      <c r="B817" s="5"/>
      <c r="C817" s="5"/>
      <c r="D817" s="5"/>
      <c r="E817" s="3"/>
      <c r="F817" s="5"/>
      <c r="G817" s="5"/>
      <c r="H817" s="5"/>
      <c r="I817" s="3"/>
      <c r="J817" s="3"/>
      <c r="K817" s="3"/>
      <c r="L817" s="3"/>
      <c r="M817" s="3"/>
      <c r="N817" s="3"/>
      <c r="O817" s="3"/>
      <c r="P817" s="3"/>
      <c r="Q817" s="3"/>
      <c r="R817" s="3"/>
      <c r="S817" s="3"/>
      <c r="T817" s="3"/>
      <c r="U817" s="3"/>
      <c r="V817" s="3"/>
      <c r="W817" s="3"/>
      <c r="X817" s="3"/>
      <c r="Y817" s="3"/>
    </row>
    <row r="818">
      <c r="A818" s="5"/>
      <c r="B818" s="5"/>
      <c r="C818" s="5"/>
      <c r="D818" s="5"/>
      <c r="E818" s="3"/>
      <c r="F818" s="5"/>
      <c r="G818" s="5"/>
      <c r="H818" s="5"/>
      <c r="I818" s="3"/>
      <c r="J818" s="3"/>
      <c r="K818" s="3"/>
      <c r="L818" s="3"/>
      <c r="M818" s="3"/>
      <c r="N818" s="3"/>
      <c r="O818" s="3"/>
      <c r="P818" s="3"/>
      <c r="Q818" s="3"/>
      <c r="R818" s="3"/>
      <c r="S818" s="3"/>
      <c r="T818" s="3"/>
      <c r="U818" s="3"/>
      <c r="V818" s="3"/>
      <c r="W818" s="3"/>
      <c r="X818" s="3"/>
      <c r="Y818" s="3"/>
    </row>
    <row r="819">
      <c r="A819" s="5"/>
      <c r="B819" s="5"/>
      <c r="C819" s="5"/>
      <c r="D819" s="5"/>
      <c r="E819" s="3"/>
      <c r="F819" s="5"/>
      <c r="G819" s="5"/>
      <c r="H819" s="5"/>
      <c r="I819" s="3"/>
      <c r="J819" s="3"/>
      <c r="K819" s="3"/>
      <c r="L819" s="3"/>
      <c r="M819" s="3"/>
      <c r="N819" s="3"/>
      <c r="O819" s="3"/>
      <c r="P819" s="3"/>
      <c r="Q819" s="3"/>
      <c r="R819" s="3"/>
      <c r="S819" s="3"/>
      <c r="T819" s="3"/>
      <c r="U819" s="3"/>
      <c r="V819" s="3"/>
      <c r="W819" s="3"/>
      <c r="X819" s="3"/>
      <c r="Y819" s="3"/>
    </row>
    <row r="820">
      <c r="A820" s="5"/>
      <c r="B820" s="5"/>
      <c r="C820" s="5"/>
      <c r="D820" s="5"/>
      <c r="E820" s="3"/>
      <c r="F820" s="5"/>
      <c r="G820" s="5"/>
      <c r="H820" s="5"/>
      <c r="I820" s="3"/>
      <c r="J820" s="3"/>
      <c r="K820" s="3"/>
      <c r="L820" s="3"/>
      <c r="M820" s="3"/>
      <c r="N820" s="3"/>
      <c r="O820" s="3"/>
      <c r="P820" s="3"/>
      <c r="Q820" s="3"/>
      <c r="R820" s="3"/>
      <c r="S820" s="3"/>
      <c r="T820" s="3"/>
      <c r="U820" s="3"/>
      <c r="V820" s="3"/>
      <c r="W820" s="3"/>
      <c r="X820" s="3"/>
      <c r="Y820" s="3"/>
    </row>
    <row r="821">
      <c r="A821" s="5"/>
      <c r="B821" s="5"/>
      <c r="C821" s="5"/>
      <c r="D821" s="5"/>
      <c r="E821" s="3"/>
      <c r="F821" s="5"/>
      <c r="G821" s="5"/>
      <c r="H821" s="5"/>
      <c r="I821" s="3"/>
      <c r="J821" s="3"/>
      <c r="K821" s="3"/>
      <c r="L821" s="3"/>
      <c r="M821" s="3"/>
      <c r="N821" s="3"/>
      <c r="O821" s="3"/>
      <c r="P821" s="3"/>
      <c r="Q821" s="3"/>
      <c r="R821" s="3"/>
      <c r="S821" s="3"/>
      <c r="T821" s="3"/>
      <c r="U821" s="3"/>
      <c r="V821" s="3"/>
      <c r="W821" s="3"/>
      <c r="X821" s="3"/>
      <c r="Y821" s="3"/>
    </row>
    <row r="822">
      <c r="A822" s="5"/>
      <c r="B822" s="5"/>
      <c r="C822" s="5"/>
      <c r="D822" s="5"/>
      <c r="E822" s="3"/>
      <c r="F822" s="5"/>
      <c r="G822" s="5"/>
      <c r="H822" s="5"/>
      <c r="I822" s="3"/>
      <c r="J822" s="3"/>
      <c r="K822" s="3"/>
      <c r="L822" s="3"/>
      <c r="M822" s="3"/>
      <c r="N822" s="3"/>
      <c r="O822" s="3"/>
      <c r="P822" s="3"/>
      <c r="Q822" s="3"/>
      <c r="R822" s="3"/>
      <c r="S822" s="3"/>
      <c r="T822" s="3"/>
      <c r="U822" s="3"/>
      <c r="V822" s="3"/>
      <c r="W822" s="3"/>
      <c r="X822" s="3"/>
      <c r="Y822" s="3"/>
    </row>
    <row r="823">
      <c r="A823" s="5"/>
      <c r="B823" s="5"/>
      <c r="C823" s="5"/>
      <c r="D823" s="5"/>
      <c r="E823" s="3"/>
      <c r="F823" s="5"/>
      <c r="G823" s="5"/>
      <c r="H823" s="5"/>
      <c r="I823" s="3"/>
      <c r="J823" s="3"/>
      <c r="K823" s="3"/>
      <c r="L823" s="3"/>
      <c r="M823" s="3"/>
      <c r="N823" s="3"/>
      <c r="O823" s="3"/>
      <c r="P823" s="3"/>
      <c r="Q823" s="3"/>
      <c r="R823" s="3"/>
      <c r="S823" s="3"/>
      <c r="T823" s="3"/>
      <c r="U823" s="3"/>
      <c r="V823" s="3"/>
      <c r="W823" s="3"/>
      <c r="X823" s="3"/>
      <c r="Y823" s="3"/>
    </row>
    <row r="824">
      <c r="A824" s="5"/>
      <c r="B824" s="5"/>
      <c r="C824" s="5"/>
      <c r="D824" s="5"/>
      <c r="E824" s="3"/>
      <c r="F824" s="5"/>
      <c r="G824" s="5"/>
      <c r="H824" s="5"/>
      <c r="I824" s="3"/>
      <c r="J824" s="3"/>
      <c r="K824" s="3"/>
      <c r="L824" s="3"/>
      <c r="M824" s="3"/>
      <c r="N824" s="3"/>
      <c r="O824" s="3"/>
      <c r="P824" s="3"/>
      <c r="Q824" s="3"/>
      <c r="R824" s="3"/>
      <c r="S824" s="3"/>
      <c r="T824" s="3"/>
      <c r="U824" s="3"/>
      <c r="V824" s="3"/>
      <c r="W824" s="3"/>
      <c r="X824" s="3"/>
      <c r="Y824" s="3"/>
    </row>
    <row r="825">
      <c r="A825" s="5"/>
      <c r="B825" s="5"/>
      <c r="C825" s="5"/>
      <c r="D825" s="5"/>
      <c r="E825" s="3"/>
      <c r="F825" s="5"/>
      <c r="G825" s="5"/>
      <c r="H825" s="5"/>
      <c r="I825" s="3"/>
      <c r="J825" s="3"/>
      <c r="K825" s="3"/>
      <c r="L825" s="3"/>
      <c r="M825" s="3"/>
      <c r="N825" s="3"/>
      <c r="O825" s="3"/>
      <c r="P825" s="3"/>
      <c r="Q825" s="3"/>
      <c r="R825" s="3"/>
      <c r="S825" s="3"/>
      <c r="T825" s="3"/>
      <c r="U825" s="3"/>
      <c r="V825" s="3"/>
      <c r="W825" s="3"/>
      <c r="X825" s="3"/>
      <c r="Y825" s="3"/>
    </row>
    <row r="826">
      <c r="A826" s="5"/>
      <c r="B826" s="5"/>
      <c r="C826" s="5"/>
      <c r="D826" s="5"/>
      <c r="E826" s="3"/>
      <c r="F826" s="5"/>
      <c r="G826" s="5"/>
      <c r="H826" s="5"/>
      <c r="I826" s="3"/>
      <c r="J826" s="3"/>
      <c r="K826" s="3"/>
      <c r="L826" s="3"/>
      <c r="M826" s="3"/>
      <c r="N826" s="3"/>
      <c r="O826" s="3"/>
      <c r="P826" s="3"/>
      <c r="Q826" s="3"/>
      <c r="R826" s="3"/>
      <c r="S826" s="3"/>
      <c r="T826" s="3"/>
      <c r="U826" s="3"/>
      <c r="V826" s="3"/>
      <c r="W826" s="3"/>
      <c r="X826" s="3"/>
      <c r="Y826" s="3"/>
    </row>
    <row r="827">
      <c r="A827" s="5"/>
      <c r="B827" s="5"/>
      <c r="C827" s="5"/>
      <c r="D827" s="5"/>
      <c r="E827" s="3"/>
      <c r="F827" s="5"/>
      <c r="G827" s="5"/>
      <c r="H827" s="5"/>
      <c r="I827" s="3"/>
      <c r="J827" s="3"/>
      <c r="K827" s="3"/>
      <c r="L827" s="3"/>
      <c r="M827" s="3"/>
      <c r="N827" s="3"/>
      <c r="O827" s="3"/>
      <c r="P827" s="3"/>
      <c r="Q827" s="3"/>
      <c r="R827" s="3"/>
      <c r="S827" s="3"/>
      <c r="T827" s="3"/>
      <c r="U827" s="3"/>
      <c r="V827" s="3"/>
      <c r="W827" s="3"/>
      <c r="X827" s="3"/>
      <c r="Y827" s="3"/>
    </row>
    <row r="828">
      <c r="A828" s="5"/>
      <c r="B828" s="5"/>
      <c r="C828" s="5"/>
      <c r="D828" s="5"/>
      <c r="E828" s="3"/>
      <c r="F828" s="5"/>
      <c r="G828" s="5"/>
      <c r="H828" s="5"/>
      <c r="I828" s="3"/>
      <c r="J828" s="3"/>
      <c r="K828" s="3"/>
      <c r="L828" s="3"/>
      <c r="M828" s="3"/>
      <c r="N828" s="3"/>
      <c r="O828" s="3"/>
      <c r="P828" s="3"/>
      <c r="Q828" s="3"/>
      <c r="R828" s="3"/>
      <c r="S828" s="3"/>
      <c r="T828" s="3"/>
      <c r="U828" s="3"/>
      <c r="V828" s="3"/>
      <c r="W828" s="3"/>
      <c r="X828" s="3"/>
      <c r="Y828" s="3"/>
    </row>
    <row r="829">
      <c r="A829" s="5"/>
      <c r="B829" s="5"/>
      <c r="C829" s="5"/>
      <c r="D829" s="5"/>
      <c r="E829" s="3"/>
      <c r="F829" s="5"/>
      <c r="G829" s="5"/>
      <c r="H829" s="5"/>
      <c r="I829" s="3"/>
      <c r="J829" s="3"/>
      <c r="K829" s="3"/>
      <c r="L829" s="3"/>
      <c r="M829" s="3"/>
      <c r="N829" s="3"/>
      <c r="O829" s="3"/>
      <c r="P829" s="3"/>
      <c r="Q829" s="3"/>
      <c r="R829" s="3"/>
      <c r="S829" s="3"/>
      <c r="T829" s="3"/>
      <c r="U829" s="3"/>
      <c r="V829" s="3"/>
      <c r="W829" s="3"/>
      <c r="X829" s="3"/>
      <c r="Y829" s="3"/>
    </row>
    <row r="830">
      <c r="A830" s="5"/>
      <c r="B830" s="5"/>
      <c r="C830" s="5"/>
      <c r="D830" s="5"/>
      <c r="E830" s="3"/>
      <c r="F830" s="5"/>
      <c r="G830" s="5"/>
      <c r="H830" s="5"/>
      <c r="I830" s="3"/>
      <c r="J830" s="3"/>
      <c r="K830" s="3"/>
      <c r="L830" s="3"/>
      <c r="M830" s="3"/>
      <c r="N830" s="3"/>
      <c r="O830" s="3"/>
      <c r="P830" s="3"/>
      <c r="Q830" s="3"/>
      <c r="R830" s="3"/>
      <c r="S830" s="3"/>
      <c r="T830" s="3"/>
      <c r="U830" s="3"/>
      <c r="V830" s="3"/>
      <c r="W830" s="3"/>
      <c r="X830" s="3"/>
      <c r="Y830" s="3"/>
    </row>
    <row r="831">
      <c r="A831" s="5"/>
      <c r="B831" s="5"/>
      <c r="C831" s="5"/>
      <c r="D831" s="5"/>
      <c r="E831" s="3"/>
      <c r="F831" s="5"/>
      <c r="G831" s="5"/>
      <c r="H831" s="5"/>
      <c r="I831" s="3"/>
      <c r="J831" s="3"/>
      <c r="K831" s="3"/>
      <c r="L831" s="3"/>
      <c r="M831" s="3"/>
      <c r="N831" s="3"/>
      <c r="O831" s="3"/>
      <c r="P831" s="3"/>
      <c r="Q831" s="3"/>
      <c r="R831" s="3"/>
      <c r="S831" s="3"/>
      <c r="T831" s="3"/>
      <c r="U831" s="3"/>
      <c r="V831" s="3"/>
      <c r="W831" s="3"/>
      <c r="X831" s="3"/>
      <c r="Y831" s="3"/>
    </row>
    <row r="832">
      <c r="A832" s="5"/>
      <c r="B832" s="5"/>
      <c r="C832" s="5"/>
      <c r="D832" s="5"/>
      <c r="E832" s="3"/>
      <c r="F832" s="5"/>
      <c r="G832" s="5"/>
      <c r="H832" s="5"/>
      <c r="I832" s="3"/>
      <c r="J832" s="3"/>
      <c r="K832" s="3"/>
      <c r="L832" s="3"/>
      <c r="M832" s="3"/>
      <c r="N832" s="3"/>
      <c r="O832" s="3"/>
      <c r="P832" s="3"/>
      <c r="Q832" s="3"/>
      <c r="R832" s="3"/>
      <c r="S832" s="3"/>
      <c r="T832" s="3"/>
      <c r="U832" s="3"/>
      <c r="V832" s="3"/>
      <c r="W832" s="3"/>
      <c r="X832" s="3"/>
      <c r="Y832" s="3"/>
    </row>
    <row r="833">
      <c r="A833" s="5"/>
      <c r="B833" s="5"/>
      <c r="C833" s="5"/>
      <c r="D833" s="5"/>
      <c r="E833" s="3"/>
      <c r="F833" s="5"/>
      <c r="G833" s="5"/>
      <c r="H833" s="5"/>
      <c r="I833" s="3"/>
      <c r="J833" s="3"/>
      <c r="K833" s="3"/>
      <c r="L833" s="3"/>
      <c r="M833" s="3"/>
      <c r="N833" s="3"/>
      <c r="O833" s="3"/>
      <c r="P833" s="3"/>
      <c r="Q833" s="3"/>
      <c r="R833" s="3"/>
      <c r="S833" s="3"/>
      <c r="T833" s="3"/>
      <c r="U833" s="3"/>
      <c r="V833" s="3"/>
      <c r="W833" s="3"/>
      <c r="X833" s="3"/>
      <c r="Y833" s="3"/>
    </row>
    <row r="834">
      <c r="A834" s="5"/>
      <c r="B834" s="5"/>
      <c r="C834" s="5"/>
      <c r="D834" s="5"/>
      <c r="E834" s="3"/>
      <c r="F834" s="5"/>
      <c r="G834" s="5"/>
      <c r="H834" s="5"/>
      <c r="I834" s="3"/>
      <c r="J834" s="3"/>
      <c r="K834" s="3"/>
      <c r="L834" s="3"/>
      <c r="M834" s="3"/>
      <c r="N834" s="3"/>
      <c r="O834" s="3"/>
      <c r="P834" s="3"/>
      <c r="Q834" s="3"/>
      <c r="R834" s="3"/>
      <c r="S834" s="3"/>
      <c r="T834" s="3"/>
      <c r="U834" s="3"/>
      <c r="V834" s="3"/>
      <c r="W834" s="3"/>
      <c r="X834" s="3"/>
      <c r="Y834" s="3"/>
    </row>
    <row r="835">
      <c r="A835" s="5"/>
      <c r="B835" s="5"/>
      <c r="C835" s="5"/>
      <c r="D835" s="5"/>
      <c r="E835" s="3"/>
      <c r="F835" s="5"/>
      <c r="G835" s="5"/>
      <c r="H835" s="5"/>
      <c r="I835" s="3"/>
      <c r="J835" s="3"/>
      <c r="K835" s="3"/>
      <c r="L835" s="3"/>
      <c r="M835" s="3"/>
      <c r="N835" s="3"/>
      <c r="O835" s="3"/>
      <c r="P835" s="3"/>
      <c r="Q835" s="3"/>
      <c r="R835" s="3"/>
      <c r="S835" s="3"/>
      <c r="T835" s="3"/>
      <c r="U835" s="3"/>
      <c r="V835" s="3"/>
      <c r="W835" s="3"/>
      <c r="X835" s="3"/>
      <c r="Y835" s="3"/>
    </row>
    <row r="836">
      <c r="A836" s="5"/>
      <c r="B836" s="5"/>
      <c r="C836" s="5"/>
      <c r="D836" s="5"/>
      <c r="E836" s="3"/>
      <c r="F836" s="5"/>
      <c r="G836" s="5"/>
      <c r="H836" s="5"/>
      <c r="I836" s="3"/>
      <c r="J836" s="3"/>
      <c r="K836" s="3"/>
      <c r="L836" s="3"/>
      <c r="M836" s="3"/>
      <c r="N836" s="3"/>
      <c r="O836" s="3"/>
      <c r="P836" s="3"/>
      <c r="Q836" s="3"/>
      <c r="R836" s="3"/>
      <c r="S836" s="3"/>
      <c r="T836" s="3"/>
      <c r="U836" s="3"/>
      <c r="V836" s="3"/>
      <c r="W836" s="3"/>
      <c r="X836" s="3"/>
      <c r="Y836" s="3"/>
    </row>
    <row r="837">
      <c r="A837" s="5"/>
      <c r="B837" s="5"/>
      <c r="C837" s="5"/>
      <c r="D837" s="5"/>
      <c r="E837" s="3"/>
      <c r="F837" s="5"/>
      <c r="G837" s="5"/>
      <c r="H837" s="5"/>
      <c r="I837" s="3"/>
      <c r="J837" s="3"/>
      <c r="K837" s="3"/>
      <c r="L837" s="3"/>
      <c r="M837" s="3"/>
      <c r="N837" s="3"/>
      <c r="O837" s="3"/>
      <c r="P837" s="3"/>
      <c r="Q837" s="3"/>
      <c r="R837" s="3"/>
      <c r="S837" s="3"/>
      <c r="T837" s="3"/>
      <c r="U837" s="3"/>
      <c r="V837" s="3"/>
      <c r="W837" s="3"/>
      <c r="X837" s="3"/>
      <c r="Y837" s="3"/>
    </row>
    <row r="838">
      <c r="A838" s="5"/>
      <c r="B838" s="5"/>
      <c r="C838" s="5"/>
      <c r="D838" s="5"/>
      <c r="E838" s="3"/>
      <c r="F838" s="5"/>
      <c r="G838" s="5"/>
      <c r="H838" s="5"/>
      <c r="I838" s="3"/>
      <c r="J838" s="3"/>
      <c r="K838" s="3"/>
      <c r="L838" s="3"/>
      <c r="M838" s="3"/>
      <c r="N838" s="3"/>
      <c r="O838" s="3"/>
      <c r="P838" s="3"/>
      <c r="Q838" s="3"/>
      <c r="R838" s="3"/>
      <c r="S838" s="3"/>
      <c r="T838" s="3"/>
      <c r="U838" s="3"/>
      <c r="V838" s="3"/>
      <c r="W838" s="3"/>
      <c r="X838" s="3"/>
      <c r="Y838" s="3"/>
    </row>
    <row r="839">
      <c r="A839" s="5"/>
      <c r="B839" s="5"/>
      <c r="C839" s="5"/>
      <c r="D839" s="5"/>
      <c r="E839" s="3"/>
      <c r="F839" s="5"/>
      <c r="G839" s="5"/>
      <c r="H839" s="5"/>
      <c r="I839" s="3"/>
      <c r="J839" s="3"/>
      <c r="K839" s="3"/>
      <c r="L839" s="3"/>
      <c r="M839" s="3"/>
      <c r="N839" s="3"/>
      <c r="O839" s="3"/>
      <c r="P839" s="3"/>
      <c r="Q839" s="3"/>
      <c r="R839" s="3"/>
      <c r="S839" s="3"/>
      <c r="T839" s="3"/>
      <c r="U839" s="3"/>
      <c r="V839" s="3"/>
      <c r="W839" s="3"/>
      <c r="X839" s="3"/>
      <c r="Y839" s="3"/>
    </row>
    <row r="840">
      <c r="A840" s="5"/>
      <c r="B840" s="5"/>
      <c r="C840" s="5"/>
      <c r="D840" s="5"/>
      <c r="E840" s="3"/>
      <c r="F840" s="5"/>
      <c r="G840" s="5"/>
      <c r="H840" s="5"/>
      <c r="I840" s="3"/>
      <c r="J840" s="3"/>
      <c r="K840" s="3"/>
      <c r="L840" s="3"/>
      <c r="M840" s="3"/>
      <c r="N840" s="3"/>
      <c r="O840" s="3"/>
      <c r="P840" s="3"/>
      <c r="Q840" s="3"/>
      <c r="R840" s="3"/>
      <c r="S840" s="3"/>
      <c r="T840" s="3"/>
      <c r="U840" s="3"/>
      <c r="V840" s="3"/>
      <c r="W840" s="3"/>
      <c r="X840" s="3"/>
      <c r="Y840" s="3"/>
    </row>
    <row r="841">
      <c r="A841" s="5"/>
      <c r="B841" s="5"/>
      <c r="C841" s="5"/>
      <c r="D841" s="5"/>
      <c r="E841" s="3"/>
      <c r="F841" s="5"/>
      <c r="G841" s="5"/>
      <c r="H841" s="5"/>
      <c r="I841" s="3"/>
      <c r="J841" s="3"/>
      <c r="K841" s="3"/>
      <c r="L841" s="3"/>
      <c r="M841" s="3"/>
      <c r="N841" s="3"/>
      <c r="O841" s="3"/>
      <c r="P841" s="3"/>
      <c r="Q841" s="3"/>
      <c r="R841" s="3"/>
      <c r="S841" s="3"/>
      <c r="T841" s="3"/>
      <c r="U841" s="3"/>
      <c r="V841" s="3"/>
      <c r="W841" s="3"/>
      <c r="X841" s="3"/>
      <c r="Y841" s="3"/>
    </row>
    <row r="842">
      <c r="A842" s="5"/>
      <c r="B842" s="5"/>
      <c r="C842" s="5"/>
      <c r="D842" s="5"/>
      <c r="E842" s="3"/>
      <c r="F842" s="5"/>
      <c r="G842" s="5"/>
      <c r="H842" s="5"/>
      <c r="I842" s="3"/>
      <c r="J842" s="3"/>
      <c r="K842" s="3"/>
      <c r="L842" s="3"/>
      <c r="M842" s="3"/>
      <c r="N842" s="3"/>
      <c r="O842" s="3"/>
      <c r="P842" s="3"/>
      <c r="Q842" s="3"/>
      <c r="R842" s="3"/>
      <c r="S842" s="3"/>
      <c r="T842" s="3"/>
      <c r="U842" s="3"/>
      <c r="V842" s="3"/>
      <c r="W842" s="3"/>
      <c r="X842" s="3"/>
      <c r="Y842" s="3"/>
    </row>
    <row r="843">
      <c r="A843" s="5"/>
      <c r="B843" s="5"/>
      <c r="C843" s="5"/>
      <c r="D843" s="5"/>
      <c r="E843" s="3"/>
      <c r="F843" s="5"/>
      <c r="G843" s="5"/>
      <c r="H843" s="5"/>
      <c r="I843" s="3"/>
      <c r="J843" s="3"/>
      <c r="K843" s="3"/>
      <c r="L843" s="3"/>
      <c r="M843" s="3"/>
      <c r="N843" s="3"/>
      <c r="O843" s="3"/>
      <c r="P843" s="3"/>
      <c r="Q843" s="3"/>
      <c r="R843" s="3"/>
      <c r="S843" s="3"/>
      <c r="T843" s="3"/>
      <c r="U843" s="3"/>
      <c r="V843" s="3"/>
      <c r="W843" s="3"/>
      <c r="X843" s="3"/>
      <c r="Y843" s="3"/>
    </row>
    <row r="844">
      <c r="A844" s="5"/>
      <c r="B844" s="5"/>
      <c r="C844" s="5"/>
      <c r="D844" s="5"/>
      <c r="E844" s="3"/>
      <c r="F844" s="5"/>
      <c r="G844" s="5"/>
      <c r="H844" s="5"/>
      <c r="I844" s="3"/>
      <c r="J844" s="3"/>
      <c r="K844" s="3"/>
      <c r="L844" s="3"/>
      <c r="M844" s="3"/>
      <c r="N844" s="3"/>
      <c r="O844" s="3"/>
      <c r="P844" s="3"/>
      <c r="Q844" s="3"/>
      <c r="R844" s="3"/>
      <c r="S844" s="3"/>
      <c r="T844" s="3"/>
      <c r="U844" s="3"/>
      <c r="V844" s="3"/>
      <c r="W844" s="3"/>
      <c r="X844" s="3"/>
      <c r="Y844" s="3"/>
    </row>
    <row r="845">
      <c r="A845" s="5"/>
      <c r="B845" s="5"/>
      <c r="C845" s="5"/>
      <c r="D845" s="5"/>
      <c r="E845" s="3"/>
      <c r="F845" s="5"/>
      <c r="G845" s="5"/>
      <c r="H845" s="5"/>
      <c r="I845" s="3"/>
      <c r="J845" s="3"/>
      <c r="K845" s="3"/>
      <c r="L845" s="3"/>
      <c r="M845" s="3"/>
      <c r="N845" s="3"/>
      <c r="O845" s="3"/>
      <c r="P845" s="3"/>
      <c r="Q845" s="3"/>
      <c r="R845" s="3"/>
      <c r="S845" s="3"/>
      <c r="T845" s="3"/>
      <c r="U845" s="3"/>
      <c r="V845" s="3"/>
      <c r="W845" s="3"/>
      <c r="X845" s="3"/>
      <c r="Y845" s="3"/>
    </row>
    <row r="846">
      <c r="A846" s="5"/>
      <c r="B846" s="5"/>
      <c r="C846" s="5"/>
      <c r="D846" s="5"/>
      <c r="E846" s="3"/>
      <c r="F846" s="5"/>
      <c r="G846" s="5"/>
      <c r="H846" s="5"/>
      <c r="I846" s="3"/>
      <c r="J846" s="3"/>
      <c r="K846" s="3"/>
      <c r="L846" s="3"/>
      <c r="M846" s="3"/>
      <c r="N846" s="3"/>
      <c r="O846" s="3"/>
      <c r="P846" s="3"/>
      <c r="Q846" s="3"/>
      <c r="R846" s="3"/>
      <c r="S846" s="3"/>
      <c r="T846" s="3"/>
      <c r="U846" s="3"/>
      <c r="V846" s="3"/>
      <c r="W846" s="3"/>
      <c r="X846" s="3"/>
      <c r="Y846" s="3"/>
    </row>
    <row r="847">
      <c r="A847" s="5"/>
      <c r="B847" s="5"/>
      <c r="C847" s="5"/>
      <c r="D847" s="5"/>
      <c r="E847" s="3"/>
      <c r="F847" s="5"/>
      <c r="G847" s="5"/>
      <c r="H847" s="5"/>
      <c r="I847" s="3"/>
      <c r="J847" s="3"/>
      <c r="K847" s="3"/>
      <c r="L847" s="3"/>
      <c r="M847" s="3"/>
      <c r="N847" s="3"/>
      <c r="O847" s="3"/>
      <c r="P847" s="3"/>
      <c r="Q847" s="3"/>
      <c r="R847" s="3"/>
      <c r="S847" s="3"/>
      <c r="T847" s="3"/>
      <c r="U847" s="3"/>
      <c r="V847" s="3"/>
      <c r="W847" s="3"/>
      <c r="X847" s="3"/>
      <c r="Y847" s="3"/>
    </row>
    <row r="848">
      <c r="A848" s="5"/>
      <c r="B848" s="5"/>
      <c r="C848" s="5"/>
      <c r="D848" s="5"/>
      <c r="E848" s="3"/>
      <c r="F848" s="5"/>
      <c r="G848" s="5"/>
      <c r="H848" s="5"/>
      <c r="I848" s="3"/>
      <c r="J848" s="3"/>
      <c r="K848" s="3"/>
      <c r="L848" s="3"/>
      <c r="M848" s="3"/>
      <c r="N848" s="3"/>
      <c r="O848" s="3"/>
      <c r="P848" s="3"/>
      <c r="Q848" s="3"/>
      <c r="R848" s="3"/>
      <c r="S848" s="3"/>
      <c r="T848" s="3"/>
      <c r="U848" s="3"/>
      <c r="V848" s="3"/>
      <c r="W848" s="3"/>
      <c r="X848" s="3"/>
      <c r="Y848" s="3"/>
    </row>
    <row r="849">
      <c r="A849" s="5"/>
      <c r="B849" s="5"/>
      <c r="C849" s="5"/>
      <c r="D849" s="5"/>
      <c r="E849" s="3"/>
      <c r="F849" s="5"/>
      <c r="G849" s="5"/>
      <c r="H849" s="5"/>
      <c r="I849" s="3"/>
      <c r="J849" s="3"/>
      <c r="K849" s="3"/>
      <c r="L849" s="3"/>
      <c r="M849" s="3"/>
      <c r="N849" s="3"/>
      <c r="O849" s="3"/>
      <c r="P849" s="3"/>
      <c r="Q849" s="3"/>
      <c r="R849" s="3"/>
      <c r="S849" s="3"/>
      <c r="T849" s="3"/>
      <c r="U849" s="3"/>
      <c r="V849" s="3"/>
      <c r="W849" s="3"/>
      <c r="X849" s="3"/>
      <c r="Y849" s="3"/>
    </row>
    <row r="850">
      <c r="A850" s="5"/>
      <c r="B850" s="5"/>
      <c r="C850" s="5"/>
      <c r="D850" s="5"/>
      <c r="E850" s="3"/>
      <c r="F850" s="5"/>
      <c r="G850" s="5"/>
      <c r="H850" s="5"/>
      <c r="I850" s="3"/>
      <c r="J850" s="3"/>
      <c r="K850" s="3"/>
      <c r="L850" s="3"/>
      <c r="M850" s="3"/>
      <c r="N850" s="3"/>
      <c r="O850" s="3"/>
      <c r="P850" s="3"/>
      <c r="Q850" s="3"/>
      <c r="R850" s="3"/>
      <c r="S850" s="3"/>
      <c r="T850" s="3"/>
      <c r="U850" s="3"/>
      <c r="V850" s="3"/>
      <c r="W850" s="3"/>
      <c r="X850" s="3"/>
      <c r="Y850" s="3"/>
    </row>
    <row r="851">
      <c r="A851" s="5"/>
      <c r="B851" s="5"/>
      <c r="C851" s="5"/>
      <c r="D851" s="5"/>
      <c r="E851" s="3"/>
      <c r="F851" s="5"/>
      <c r="G851" s="5"/>
      <c r="H851" s="5"/>
      <c r="I851" s="3"/>
      <c r="J851" s="3"/>
      <c r="K851" s="3"/>
      <c r="L851" s="3"/>
      <c r="M851" s="3"/>
      <c r="N851" s="3"/>
      <c r="O851" s="3"/>
      <c r="P851" s="3"/>
      <c r="Q851" s="3"/>
      <c r="R851" s="3"/>
      <c r="S851" s="3"/>
      <c r="T851" s="3"/>
      <c r="U851" s="3"/>
      <c r="V851" s="3"/>
      <c r="W851" s="3"/>
      <c r="X851" s="3"/>
      <c r="Y851" s="3"/>
    </row>
    <row r="852">
      <c r="A852" s="5"/>
      <c r="B852" s="5"/>
      <c r="C852" s="5"/>
      <c r="D852" s="5"/>
      <c r="E852" s="3"/>
      <c r="F852" s="5"/>
      <c r="G852" s="5"/>
      <c r="H852" s="5"/>
      <c r="I852" s="3"/>
      <c r="J852" s="3"/>
      <c r="K852" s="3"/>
      <c r="L852" s="3"/>
      <c r="M852" s="3"/>
      <c r="N852" s="3"/>
      <c r="O852" s="3"/>
      <c r="P852" s="3"/>
      <c r="Q852" s="3"/>
      <c r="R852" s="3"/>
      <c r="S852" s="3"/>
      <c r="T852" s="3"/>
      <c r="U852" s="3"/>
      <c r="V852" s="3"/>
      <c r="W852" s="3"/>
      <c r="X852" s="3"/>
      <c r="Y852" s="3"/>
    </row>
    <row r="853">
      <c r="A853" s="5"/>
      <c r="B853" s="5"/>
      <c r="C853" s="5"/>
      <c r="D853" s="5"/>
      <c r="E853" s="3"/>
      <c r="F853" s="5"/>
      <c r="G853" s="5"/>
      <c r="H853" s="5"/>
      <c r="I853" s="3"/>
      <c r="J853" s="3"/>
      <c r="K853" s="3"/>
      <c r="L853" s="3"/>
      <c r="M853" s="3"/>
      <c r="N853" s="3"/>
      <c r="O853" s="3"/>
      <c r="P853" s="3"/>
      <c r="Q853" s="3"/>
      <c r="R853" s="3"/>
      <c r="S853" s="3"/>
      <c r="T853" s="3"/>
      <c r="U853" s="3"/>
      <c r="V853" s="3"/>
      <c r="W853" s="3"/>
      <c r="X853" s="3"/>
      <c r="Y853" s="3"/>
    </row>
    <row r="854">
      <c r="A854" s="5"/>
      <c r="B854" s="5"/>
      <c r="C854" s="5"/>
      <c r="D854" s="5"/>
      <c r="E854" s="3"/>
      <c r="F854" s="5"/>
      <c r="G854" s="5"/>
      <c r="H854" s="5"/>
      <c r="I854" s="3"/>
      <c r="J854" s="3"/>
      <c r="K854" s="3"/>
      <c r="L854" s="3"/>
      <c r="M854" s="3"/>
      <c r="N854" s="3"/>
      <c r="O854" s="3"/>
      <c r="P854" s="3"/>
      <c r="Q854" s="3"/>
      <c r="R854" s="3"/>
      <c r="S854" s="3"/>
      <c r="T854" s="3"/>
      <c r="U854" s="3"/>
      <c r="V854" s="3"/>
      <c r="W854" s="3"/>
      <c r="X854" s="3"/>
      <c r="Y854" s="3"/>
    </row>
    <row r="855">
      <c r="A855" s="5"/>
      <c r="B855" s="5"/>
      <c r="C855" s="5"/>
      <c r="D855" s="5"/>
      <c r="E855" s="3"/>
      <c r="F855" s="5"/>
      <c r="G855" s="5"/>
      <c r="H855" s="5"/>
      <c r="I855" s="3"/>
      <c r="J855" s="3"/>
      <c r="K855" s="3"/>
      <c r="L855" s="3"/>
      <c r="M855" s="3"/>
      <c r="N855" s="3"/>
      <c r="O855" s="3"/>
      <c r="P855" s="3"/>
      <c r="Q855" s="3"/>
      <c r="R855" s="3"/>
      <c r="S855" s="3"/>
      <c r="T855" s="3"/>
      <c r="U855" s="3"/>
      <c r="V855" s="3"/>
      <c r="W855" s="3"/>
      <c r="X855" s="3"/>
      <c r="Y855" s="3"/>
    </row>
    <row r="856">
      <c r="A856" s="5"/>
      <c r="B856" s="5"/>
      <c r="C856" s="5"/>
      <c r="D856" s="5"/>
      <c r="E856" s="3"/>
      <c r="F856" s="5"/>
      <c r="G856" s="5"/>
      <c r="H856" s="5"/>
      <c r="I856" s="3"/>
      <c r="J856" s="3"/>
      <c r="K856" s="3"/>
      <c r="L856" s="3"/>
      <c r="M856" s="3"/>
      <c r="N856" s="3"/>
      <c r="O856" s="3"/>
      <c r="P856" s="3"/>
      <c r="Q856" s="3"/>
      <c r="R856" s="3"/>
      <c r="S856" s="3"/>
      <c r="T856" s="3"/>
      <c r="U856" s="3"/>
      <c r="V856" s="3"/>
      <c r="W856" s="3"/>
      <c r="X856" s="3"/>
      <c r="Y856" s="3"/>
    </row>
    <row r="857">
      <c r="A857" s="5"/>
      <c r="B857" s="5"/>
      <c r="C857" s="5"/>
      <c r="D857" s="5"/>
      <c r="E857" s="3"/>
      <c r="F857" s="5"/>
      <c r="G857" s="5"/>
      <c r="H857" s="5"/>
      <c r="I857" s="3"/>
      <c r="J857" s="3"/>
      <c r="K857" s="3"/>
      <c r="L857" s="3"/>
      <c r="M857" s="3"/>
      <c r="N857" s="3"/>
      <c r="O857" s="3"/>
      <c r="P857" s="3"/>
      <c r="Q857" s="3"/>
      <c r="R857" s="3"/>
      <c r="S857" s="3"/>
      <c r="T857" s="3"/>
      <c r="U857" s="3"/>
      <c r="V857" s="3"/>
      <c r="W857" s="3"/>
      <c r="X857" s="3"/>
      <c r="Y857" s="3"/>
    </row>
    <row r="858">
      <c r="A858" s="5"/>
      <c r="B858" s="5"/>
      <c r="C858" s="5"/>
      <c r="D858" s="5"/>
      <c r="E858" s="3"/>
      <c r="F858" s="5"/>
      <c r="G858" s="5"/>
      <c r="H858" s="5"/>
      <c r="I858" s="3"/>
      <c r="J858" s="3"/>
      <c r="K858" s="3"/>
      <c r="L858" s="3"/>
      <c r="M858" s="3"/>
      <c r="N858" s="3"/>
      <c r="O858" s="3"/>
      <c r="P858" s="3"/>
      <c r="Q858" s="3"/>
      <c r="R858" s="3"/>
      <c r="S858" s="3"/>
      <c r="T858" s="3"/>
      <c r="U858" s="3"/>
      <c r="V858" s="3"/>
      <c r="W858" s="3"/>
      <c r="X858" s="3"/>
      <c r="Y858" s="3"/>
    </row>
    <row r="859">
      <c r="A859" s="5"/>
      <c r="B859" s="5"/>
      <c r="C859" s="5"/>
      <c r="D859" s="5"/>
      <c r="E859" s="3"/>
      <c r="F859" s="5"/>
      <c r="G859" s="5"/>
      <c r="H859" s="5"/>
      <c r="I859" s="3"/>
      <c r="J859" s="3"/>
      <c r="K859" s="3"/>
      <c r="L859" s="3"/>
      <c r="M859" s="3"/>
      <c r="N859" s="3"/>
      <c r="O859" s="3"/>
      <c r="P859" s="3"/>
      <c r="Q859" s="3"/>
      <c r="R859" s="3"/>
      <c r="S859" s="3"/>
      <c r="T859" s="3"/>
      <c r="U859" s="3"/>
      <c r="V859" s="3"/>
      <c r="W859" s="3"/>
      <c r="X859" s="3"/>
      <c r="Y859" s="3"/>
    </row>
    <row r="860">
      <c r="A860" s="5"/>
      <c r="B860" s="5"/>
      <c r="C860" s="5"/>
      <c r="D860" s="5"/>
      <c r="E860" s="3"/>
      <c r="F860" s="5"/>
      <c r="G860" s="5"/>
      <c r="H860" s="5"/>
      <c r="I860" s="3"/>
      <c r="J860" s="3"/>
      <c r="K860" s="3"/>
      <c r="L860" s="3"/>
      <c r="M860" s="3"/>
      <c r="N860" s="3"/>
      <c r="O860" s="3"/>
      <c r="P860" s="3"/>
      <c r="Q860" s="3"/>
      <c r="R860" s="3"/>
      <c r="S860" s="3"/>
      <c r="T860" s="3"/>
      <c r="U860" s="3"/>
      <c r="V860" s="3"/>
      <c r="W860" s="3"/>
      <c r="X860" s="3"/>
      <c r="Y860" s="3"/>
    </row>
    <row r="861">
      <c r="A861" s="5"/>
      <c r="B861" s="5"/>
      <c r="C861" s="5"/>
      <c r="D861" s="5"/>
      <c r="E861" s="3"/>
      <c r="F861" s="5"/>
      <c r="G861" s="5"/>
      <c r="H861" s="5"/>
      <c r="I861" s="3"/>
      <c r="J861" s="3"/>
      <c r="K861" s="3"/>
      <c r="L861" s="3"/>
      <c r="M861" s="3"/>
      <c r="N861" s="3"/>
      <c r="O861" s="3"/>
      <c r="P861" s="3"/>
      <c r="Q861" s="3"/>
      <c r="R861" s="3"/>
      <c r="S861" s="3"/>
      <c r="T861" s="3"/>
      <c r="U861" s="3"/>
      <c r="V861" s="3"/>
      <c r="W861" s="3"/>
      <c r="X861" s="3"/>
      <c r="Y861" s="3"/>
    </row>
    <row r="862">
      <c r="A862" s="5"/>
      <c r="B862" s="5"/>
      <c r="C862" s="5"/>
      <c r="D862" s="5"/>
      <c r="E862" s="3"/>
      <c r="F862" s="5"/>
      <c r="G862" s="5"/>
      <c r="H862" s="5"/>
      <c r="I862" s="3"/>
      <c r="J862" s="3"/>
      <c r="K862" s="3"/>
      <c r="L862" s="3"/>
      <c r="M862" s="3"/>
      <c r="N862" s="3"/>
      <c r="O862" s="3"/>
      <c r="P862" s="3"/>
      <c r="Q862" s="3"/>
      <c r="R862" s="3"/>
      <c r="S862" s="3"/>
      <c r="T862" s="3"/>
      <c r="U862" s="3"/>
      <c r="V862" s="3"/>
      <c r="W862" s="3"/>
      <c r="X862" s="3"/>
      <c r="Y862" s="3"/>
    </row>
    <row r="863">
      <c r="A863" s="5"/>
      <c r="B863" s="5"/>
      <c r="C863" s="5"/>
      <c r="D863" s="5"/>
      <c r="E863" s="3"/>
      <c r="F863" s="5"/>
      <c r="G863" s="5"/>
      <c r="H863" s="5"/>
      <c r="I863" s="3"/>
      <c r="J863" s="3"/>
      <c r="K863" s="3"/>
      <c r="L863" s="3"/>
      <c r="M863" s="3"/>
      <c r="N863" s="3"/>
      <c r="O863" s="3"/>
      <c r="P863" s="3"/>
      <c r="Q863" s="3"/>
      <c r="R863" s="3"/>
      <c r="S863" s="3"/>
      <c r="T863" s="3"/>
      <c r="U863" s="3"/>
      <c r="V863" s="3"/>
      <c r="W863" s="3"/>
      <c r="X863" s="3"/>
      <c r="Y863" s="3"/>
    </row>
    <row r="864">
      <c r="A864" s="5"/>
      <c r="B864" s="5"/>
      <c r="C864" s="5"/>
      <c r="D864" s="5"/>
      <c r="E864" s="3"/>
      <c r="F864" s="5"/>
      <c r="G864" s="5"/>
      <c r="H864" s="5"/>
      <c r="I864" s="3"/>
      <c r="J864" s="3"/>
      <c r="K864" s="3"/>
      <c r="L864" s="3"/>
      <c r="M864" s="3"/>
      <c r="N864" s="3"/>
      <c r="O864" s="3"/>
      <c r="P864" s="3"/>
      <c r="Q864" s="3"/>
      <c r="R864" s="3"/>
      <c r="S864" s="3"/>
      <c r="T864" s="3"/>
      <c r="U864" s="3"/>
      <c r="V864" s="3"/>
      <c r="W864" s="3"/>
      <c r="X864" s="3"/>
      <c r="Y864" s="3"/>
    </row>
    <row r="865">
      <c r="A865" s="5"/>
      <c r="B865" s="5"/>
      <c r="C865" s="5"/>
      <c r="D865" s="5"/>
      <c r="E865" s="3"/>
      <c r="F865" s="5"/>
      <c r="G865" s="5"/>
      <c r="H865" s="5"/>
      <c r="I865" s="3"/>
      <c r="J865" s="3"/>
      <c r="K865" s="3"/>
      <c r="L865" s="3"/>
      <c r="M865" s="3"/>
      <c r="N865" s="3"/>
      <c r="O865" s="3"/>
      <c r="P865" s="3"/>
      <c r="Q865" s="3"/>
      <c r="R865" s="3"/>
      <c r="S865" s="3"/>
      <c r="T865" s="3"/>
      <c r="U865" s="3"/>
      <c r="V865" s="3"/>
      <c r="W865" s="3"/>
      <c r="X865" s="3"/>
      <c r="Y865" s="3"/>
    </row>
    <row r="866">
      <c r="A866" s="5"/>
      <c r="B866" s="5"/>
      <c r="C866" s="5"/>
      <c r="D866" s="5"/>
      <c r="E866" s="3"/>
      <c r="F866" s="5"/>
      <c r="G866" s="5"/>
      <c r="H866" s="5"/>
      <c r="I866" s="3"/>
      <c r="J866" s="3"/>
      <c r="K866" s="3"/>
      <c r="L866" s="3"/>
      <c r="M866" s="3"/>
      <c r="N866" s="3"/>
      <c r="O866" s="3"/>
      <c r="P866" s="3"/>
      <c r="Q866" s="3"/>
      <c r="R866" s="3"/>
      <c r="S866" s="3"/>
      <c r="T866" s="3"/>
      <c r="U866" s="3"/>
      <c r="V866" s="3"/>
      <c r="W866" s="3"/>
      <c r="X866" s="3"/>
      <c r="Y866" s="3"/>
    </row>
    <row r="867">
      <c r="A867" s="5"/>
      <c r="B867" s="5"/>
      <c r="C867" s="5"/>
      <c r="D867" s="5"/>
      <c r="E867" s="3"/>
      <c r="F867" s="5"/>
      <c r="G867" s="5"/>
      <c r="H867" s="5"/>
      <c r="I867" s="3"/>
      <c r="J867" s="3"/>
      <c r="K867" s="3"/>
      <c r="L867" s="3"/>
      <c r="M867" s="3"/>
      <c r="N867" s="3"/>
      <c r="O867" s="3"/>
      <c r="P867" s="3"/>
      <c r="Q867" s="3"/>
      <c r="R867" s="3"/>
      <c r="S867" s="3"/>
      <c r="T867" s="3"/>
      <c r="U867" s="3"/>
      <c r="V867" s="3"/>
      <c r="W867" s="3"/>
      <c r="X867" s="3"/>
      <c r="Y867" s="3"/>
    </row>
    <row r="868">
      <c r="A868" s="5"/>
      <c r="B868" s="5"/>
      <c r="C868" s="5"/>
      <c r="D868" s="5"/>
      <c r="E868" s="3"/>
      <c r="F868" s="5"/>
      <c r="G868" s="5"/>
      <c r="H868" s="5"/>
      <c r="I868" s="3"/>
      <c r="J868" s="3"/>
      <c r="K868" s="3"/>
      <c r="L868" s="3"/>
      <c r="M868" s="3"/>
      <c r="N868" s="3"/>
      <c r="O868" s="3"/>
      <c r="P868" s="3"/>
      <c r="Q868" s="3"/>
      <c r="R868" s="3"/>
      <c r="S868" s="3"/>
      <c r="T868" s="3"/>
      <c r="U868" s="3"/>
      <c r="V868" s="3"/>
      <c r="W868" s="3"/>
      <c r="X868" s="3"/>
      <c r="Y868" s="3"/>
    </row>
    <row r="869">
      <c r="A869" s="5"/>
      <c r="B869" s="5"/>
      <c r="C869" s="5"/>
      <c r="D869" s="5"/>
      <c r="E869" s="3"/>
      <c r="F869" s="5"/>
      <c r="G869" s="5"/>
      <c r="H869" s="5"/>
      <c r="I869" s="3"/>
      <c r="J869" s="3"/>
      <c r="K869" s="3"/>
      <c r="L869" s="3"/>
      <c r="M869" s="3"/>
      <c r="N869" s="3"/>
      <c r="O869" s="3"/>
      <c r="P869" s="3"/>
      <c r="Q869" s="3"/>
      <c r="R869" s="3"/>
      <c r="S869" s="3"/>
      <c r="T869" s="3"/>
      <c r="U869" s="3"/>
      <c r="V869" s="3"/>
      <c r="W869" s="3"/>
      <c r="X869" s="3"/>
      <c r="Y869" s="3"/>
    </row>
    <row r="870">
      <c r="A870" s="5"/>
      <c r="B870" s="5"/>
      <c r="C870" s="5"/>
      <c r="D870" s="5"/>
      <c r="E870" s="3"/>
      <c r="F870" s="5"/>
      <c r="G870" s="5"/>
      <c r="H870" s="5"/>
      <c r="I870" s="3"/>
      <c r="J870" s="3"/>
      <c r="K870" s="3"/>
      <c r="L870" s="3"/>
      <c r="M870" s="3"/>
      <c r="N870" s="3"/>
      <c r="O870" s="3"/>
      <c r="P870" s="3"/>
      <c r="Q870" s="3"/>
      <c r="R870" s="3"/>
      <c r="S870" s="3"/>
      <c r="T870" s="3"/>
      <c r="U870" s="3"/>
      <c r="V870" s="3"/>
      <c r="W870" s="3"/>
      <c r="X870" s="3"/>
      <c r="Y870" s="3"/>
    </row>
    <row r="871">
      <c r="A871" s="5"/>
      <c r="B871" s="5"/>
      <c r="C871" s="5"/>
      <c r="D871" s="5"/>
      <c r="E871" s="3"/>
      <c r="F871" s="5"/>
      <c r="G871" s="5"/>
      <c r="H871" s="5"/>
      <c r="I871" s="3"/>
      <c r="J871" s="3"/>
      <c r="K871" s="3"/>
      <c r="L871" s="3"/>
      <c r="M871" s="3"/>
      <c r="N871" s="3"/>
      <c r="O871" s="3"/>
      <c r="P871" s="3"/>
      <c r="Q871" s="3"/>
      <c r="R871" s="3"/>
      <c r="S871" s="3"/>
      <c r="T871" s="3"/>
      <c r="U871" s="3"/>
      <c r="V871" s="3"/>
      <c r="W871" s="3"/>
      <c r="X871" s="3"/>
      <c r="Y871" s="3"/>
    </row>
    <row r="872">
      <c r="A872" s="5"/>
      <c r="B872" s="5"/>
      <c r="C872" s="5"/>
      <c r="D872" s="5"/>
      <c r="E872" s="3"/>
      <c r="F872" s="5"/>
      <c r="G872" s="5"/>
      <c r="H872" s="5"/>
      <c r="I872" s="3"/>
      <c r="J872" s="3"/>
      <c r="K872" s="3"/>
      <c r="L872" s="3"/>
      <c r="M872" s="3"/>
      <c r="N872" s="3"/>
      <c r="O872" s="3"/>
      <c r="P872" s="3"/>
      <c r="Q872" s="3"/>
      <c r="R872" s="3"/>
      <c r="S872" s="3"/>
      <c r="T872" s="3"/>
      <c r="U872" s="3"/>
      <c r="V872" s="3"/>
      <c r="W872" s="3"/>
      <c r="X872" s="3"/>
      <c r="Y872" s="3"/>
    </row>
    <row r="873">
      <c r="A873" s="5"/>
      <c r="B873" s="5"/>
      <c r="C873" s="5"/>
      <c r="D873" s="5"/>
      <c r="E873" s="3"/>
      <c r="F873" s="5"/>
      <c r="G873" s="5"/>
      <c r="H873" s="5"/>
      <c r="I873" s="3"/>
      <c r="J873" s="3"/>
      <c r="K873" s="3"/>
      <c r="L873" s="3"/>
      <c r="M873" s="3"/>
      <c r="N873" s="3"/>
      <c r="O873" s="3"/>
      <c r="P873" s="3"/>
      <c r="Q873" s="3"/>
      <c r="R873" s="3"/>
      <c r="S873" s="3"/>
      <c r="T873" s="3"/>
      <c r="U873" s="3"/>
      <c r="V873" s="3"/>
      <c r="W873" s="3"/>
      <c r="X873" s="3"/>
      <c r="Y873" s="3"/>
    </row>
    <row r="874">
      <c r="A874" s="5"/>
      <c r="B874" s="5"/>
      <c r="C874" s="5"/>
      <c r="D874" s="5"/>
      <c r="E874" s="3"/>
      <c r="F874" s="5"/>
      <c r="G874" s="5"/>
      <c r="H874" s="5"/>
      <c r="I874" s="3"/>
      <c r="J874" s="3"/>
      <c r="K874" s="3"/>
      <c r="L874" s="3"/>
      <c r="M874" s="3"/>
      <c r="N874" s="3"/>
      <c r="O874" s="3"/>
      <c r="P874" s="3"/>
      <c r="Q874" s="3"/>
      <c r="R874" s="3"/>
      <c r="S874" s="3"/>
      <c r="T874" s="3"/>
      <c r="U874" s="3"/>
      <c r="V874" s="3"/>
      <c r="W874" s="3"/>
      <c r="X874" s="3"/>
      <c r="Y874" s="3"/>
    </row>
    <row r="875">
      <c r="A875" s="5"/>
      <c r="B875" s="5"/>
      <c r="C875" s="5"/>
      <c r="D875" s="5"/>
      <c r="E875" s="3"/>
      <c r="F875" s="5"/>
      <c r="G875" s="5"/>
      <c r="H875" s="5"/>
      <c r="I875" s="3"/>
      <c r="J875" s="3"/>
      <c r="K875" s="3"/>
      <c r="L875" s="3"/>
      <c r="M875" s="3"/>
      <c r="N875" s="3"/>
      <c r="O875" s="3"/>
      <c r="P875" s="3"/>
      <c r="Q875" s="3"/>
      <c r="R875" s="3"/>
      <c r="S875" s="3"/>
      <c r="T875" s="3"/>
      <c r="U875" s="3"/>
      <c r="V875" s="3"/>
      <c r="W875" s="3"/>
      <c r="X875" s="3"/>
      <c r="Y875" s="3"/>
    </row>
    <row r="876">
      <c r="A876" s="5"/>
      <c r="B876" s="5"/>
      <c r="C876" s="5"/>
      <c r="D876" s="5"/>
      <c r="E876" s="3"/>
      <c r="F876" s="5"/>
      <c r="G876" s="5"/>
      <c r="H876" s="5"/>
      <c r="I876" s="3"/>
      <c r="J876" s="3"/>
      <c r="K876" s="3"/>
      <c r="L876" s="3"/>
      <c r="M876" s="3"/>
      <c r="N876" s="3"/>
      <c r="O876" s="3"/>
      <c r="P876" s="3"/>
      <c r="Q876" s="3"/>
      <c r="R876" s="3"/>
      <c r="S876" s="3"/>
      <c r="T876" s="3"/>
      <c r="U876" s="3"/>
      <c r="V876" s="3"/>
      <c r="W876" s="3"/>
      <c r="X876" s="3"/>
      <c r="Y876" s="3"/>
    </row>
    <row r="877">
      <c r="A877" s="5"/>
      <c r="B877" s="5"/>
      <c r="C877" s="5"/>
      <c r="D877" s="5"/>
      <c r="E877" s="3"/>
      <c r="F877" s="5"/>
      <c r="G877" s="5"/>
      <c r="H877" s="5"/>
      <c r="I877" s="3"/>
      <c r="J877" s="3"/>
      <c r="K877" s="3"/>
      <c r="L877" s="3"/>
      <c r="M877" s="3"/>
      <c r="N877" s="3"/>
      <c r="O877" s="3"/>
      <c r="P877" s="3"/>
      <c r="Q877" s="3"/>
      <c r="R877" s="3"/>
      <c r="S877" s="3"/>
      <c r="T877" s="3"/>
      <c r="U877" s="3"/>
      <c r="V877" s="3"/>
      <c r="W877" s="3"/>
      <c r="X877" s="3"/>
      <c r="Y877" s="3"/>
    </row>
    <row r="878">
      <c r="A878" s="5"/>
      <c r="B878" s="5"/>
      <c r="C878" s="5"/>
      <c r="D878" s="5"/>
      <c r="E878" s="3"/>
      <c r="F878" s="5"/>
      <c r="G878" s="5"/>
      <c r="H878" s="5"/>
      <c r="I878" s="3"/>
      <c r="J878" s="3"/>
      <c r="K878" s="3"/>
      <c r="L878" s="3"/>
      <c r="M878" s="3"/>
      <c r="N878" s="3"/>
      <c r="O878" s="3"/>
      <c r="P878" s="3"/>
      <c r="Q878" s="3"/>
      <c r="R878" s="3"/>
      <c r="S878" s="3"/>
      <c r="T878" s="3"/>
      <c r="U878" s="3"/>
      <c r="V878" s="3"/>
      <c r="W878" s="3"/>
      <c r="X878" s="3"/>
      <c r="Y878" s="3"/>
    </row>
    <row r="879">
      <c r="A879" s="5"/>
      <c r="B879" s="5"/>
      <c r="C879" s="5"/>
      <c r="D879" s="5"/>
      <c r="E879" s="3"/>
      <c r="F879" s="5"/>
      <c r="G879" s="5"/>
      <c r="H879" s="5"/>
      <c r="I879" s="3"/>
      <c r="J879" s="3"/>
      <c r="K879" s="3"/>
      <c r="L879" s="3"/>
      <c r="M879" s="3"/>
      <c r="N879" s="3"/>
      <c r="O879" s="3"/>
      <c r="P879" s="3"/>
      <c r="Q879" s="3"/>
      <c r="R879" s="3"/>
      <c r="S879" s="3"/>
      <c r="T879" s="3"/>
      <c r="U879" s="3"/>
      <c r="V879" s="3"/>
      <c r="W879" s="3"/>
      <c r="X879" s="3"/>
      <c r="Y879" s="3"/>
    </row>
    <row r="880">
      <c r="A880" s="5"/>
      <c r="B880" s="5"/>
      <c r="C880" s="5"/>
      <c r="D880" s="5"/>
      <c r="E880" s="3"/>
      <c r="F880" s="5"/>
      <c r="G880" s="5"/>
      <c r="H880" s="5"/>
      <c r="I880" s="3"/>
      <c r="J880" s="3"/>
      <c r="K880" s="3"/>
      <c r="L880" s="3"/>
      <c r="M880" s="3"/>
      <c r="N880" s="3"/>
      <c r="O880" s="3"/>
      <c r="P880" s="3"/>
      <c r="Q880" s="3"/>
      <c r="R880" s="3"/>
      <c r="S880" s="3"/>
      <c r="T880" s="3"/>
      <c r="U880" s="3"/>
      <c r="V880" s="3"/>
      <c r="W880" s="3"/>
      <c r="X880" s="3"/>
      <c r="Y880" s="3"/>
    </row>
    <row r="881">
      <c r="A881" s="5"/>
      <c r="B881" s="5"/>
      <c r="C881" s="5"/>
      <c r="D881" s="5"/>
      <c r="E881" s="3"/>
      <c r="F881" s="5"/>
      <c r="G881" s="5"/>
      <c r="H881" s="5"/>
      <c r="I881" s="3"/>
      <c r="J881" s="3"/>
      <c r="K881" s="3"/>
      <c r="L881" s="3"/>
      <c r="M881" s="3"/>
      <c r="N881" s="3"/>
      <c r="O881" s="3"/>
      <c r="P881" s="3"/>
      <c r="Q881" s="3"/>
      <c r="R881" s="3"/>
      <c r="S881" s="3"/>
      <c r="T881" s="3"/>
      <c r="U881" s="3"/>
      <c r="V881" s="3"/>
      <c r="W881" s="3"/>
      <c r="X881" s="3"/>
      <c r="Y881" s="3"/>
    </row>
    <row r="882">
      <c r="A882" s="5"/>
      <c r="B882" s="5"/>
      <c r="C882" s="5"/>
      <c r="D882" s="5"/>
      <c r="E882" s="3"/>
      <c r="F882" s="5"/>
      <c r="G882" s="5"/>
      <c r="H882" s="5"/>
      <c r="I882" s="3"/>
      <c r="J882" s="3"/>
      <c r="K882" s="3"/>
      <c r="L882" s="3"/>
      <c r="M882" s="3"/>
      <c r="N882" s="3"/>
      <c r="O882" s="3"/>
      <c r="P882" s="3"/>
      <c r="Q882" s="3"/>
      <c r="R882" s="3"/>
      <c r="S882" s="3"/>
      <c r="T882" s="3"/>
      <c r="U882" s="3"/>
      <c r="V882" s="3"/>
      <c r="W882" s="3"/>
      <c r="X882" s="3"/>
      <c r="Y882" s="3"/>
    </row>
    <row r="883">
      <c r="A883" s="5"/>
      <c r="B883" s="5"/>
      <c r="C883" s="5"/>
      <c r="D883" s="5"/>
      <c r="E883" s="3"/>
      <c r="F883" s="5"/>
      <c r="G883" s="5"/>
      <c r="H883" s="5"/>
      <c r="I883" s="3"/>
      <c r="J883" s="3"/>
      <c r="K883" s="3"/>
      <c r="L883" s="3"/>
      <c r="M883" s="3"/>
      <c r="N883" s="3"/>
      <c r="O883" s="3"/>
      <c r="P883" s="3"/>
      <c r="Q883" s="3"/>
      <c r="R883" s="3"/>
      <c r="S883" s="3"/>
      <c r="T883" s="3"/>
      <c r="U883" s="3"/>
      <c r="V883" s="3"/>
      <c r="W883" s="3"/>
      <c r="X883" s="3"/>
      <c r="Y883" s="3"/>
    </row>
    <row r="884">
      <c r="A884" s="5"/>
      <c r="B884" s="5"/>
      <c r="C884" s="5"/>
      <c r="D884" s="5"/>
      <c r="E884" s="3"/>
      <c r="F884" s="5"/>
      <c r="G884" s="5"/>
      <c r="H884" s="5"/>
      <c r="I884" s="3"/>
      <c r="J884" s="3"/>
      <c r="K884" s="3"/>
      <c r="L884" s="3"/>
      <c r="M884" s="3"/>
      <c r="N884" s="3"/>
      <c r="O884" s="3"/>
      <c r="P884" s="3"/>
      <c r="Q884" s="3"/>
      <c r="R884" s="3"/>
      <c r="S884" s="3"/>
      <c r="T884" s="3"/>
      <c r="U884" s="3"/>
      <c r="V884" s="3"/>
      <c r="W884" s="3"/>
      <c r="X884" s="3"/>
      <c r="Y884" s="3"/>
    </row>
    <row r="885">
      <c r="A885" s="5"/>
      <c r="B885" s="5"/>
      <c r="C885" s="5"/>
      <c r="D885" s="5"/>
      <c r="E885" s="3"/>
      <c r="F885" s="5"/>
      <c r="G885" s="5"/>
      <c r="H885" s="5"/>
      <c r="I885" s="3"/>
      <c r="J885" s="3"/>
      <c r="K885" s="3"/>
      <c r="L885" s="3"/>
      <c r="M885" s="3"/>
      <c r="N885" s="3"/>
      <c r="O885" s="3"/>
      <c r="P885" s="3"/>
      <c r="Q885" s="3"/>
      <c r="R885" s="3"/>
      <c r="S885" s="3"/>
      <c r="T885" s="3"/>
      <c r="U885" s="3"/>
      <c r="V885" s="3"/>
      <c r="W885" s="3"/>
      <c r="X885" s="3"/>
      <c r="Y885" s="3"/>
    </row>
    <row r="886">
      <c r="A886" s="5"/>
      <c r="B886" s="5"/>
      <c r="C886" s="5"/>
      <c r="D886" s="5"/>
      <c r="E886" s="3"/>
      <c r="F886" s="5"/>
      <c r="G886" s="5"/>
      <c r="H886" s="5"/>
      <c r="I886" s="3"/>
      <c r="J886" s="3"/>
      <c r="K886" s="3"/>
      <c r="L886" s="3"/>
      <c r="M886" s="3"/>
      <c r="N886" s="3"/>
      <c r="O886" s="3"/>
      <c r="P886" s="3"/>
      <c r="Q886" s="3"/>
      <c r="R886" s="3"/>
      <c r="S886" s="3"/>
      <c r="T886" s="3"/>
      <c r="U886" s="3"/>
      <c r="V886" s="3"/>
      <c r="W886" s="3"/>
      <c r="X886" s="3"/>
      <c r="Y886" s="3"/>
    </row>
    <row r="887">
      <c r="A887" s="5"/>
      <c r="B887" s="5"/>
      <c r="C887" s="5"/>
      <c r="D887" s="5"/>
      <c r="E887" s="3"/>
      <c r="F887" s="5"/>
      <c r="G887" s="5"/>
      <c r="H887" s="5"/>
      <c r="I887" s="3"/>
      <c r="J887" s="3"/>
      <c r="K887" s="3"/>
      <c r="L887" s="3"/>
      <c r="M887" s="3"/>
      <c r="N887" s="3"/>
      <c r="O887" s="3"/>
      <c r="P887" s="3"/>
      <c r="Q887" s="3"/>
      <c r="R887" s="3"/>
      <c r="S887" s="3"/>
      <c r="T887" s="3"/>
      <c r="U887" s="3"/>
      <c r="V887" s="3"/>
      <c r="W887" s="3"/>
      <c r="X887" s="3"/>
      <c r="Y887" s="3"/>
    </row>
    <row r="888">
      <c r="A888" s="5"/>
      <c r="B888" s="5"/>
      <c r="C888" s="5"/>
      <c r="D888" s="5"/>
      <c r="E888" s="3"/>
      <c r="F888" s="5"/>
      <c r="G888" s="5"/>
      <c r="H888" s="5"/>
      <c r="I888" s="3"/>
      <c r="J888" s="3"/>
      <c r="K888" s="3"/>
      <c r="L888" s="3"/>
      <c r="M888" s="3"/>
      <c r="N888" s="3"/>
      <c r="O888" s="3"/>
      <c r="P888" s="3"/>
      <c r="Q888" s="3"/>
      <c r="R888" s="3"/>
      <c r="S888" s="3"/>
      <c r="T888" s="3"/>
      <c r="U888" s="3"/>
      <c r="V888" s="3"/>
      <c r="W888" s="3"/>
      <c r="X888" s="3"/>
      <c r="Y888" s="3"/>
    </row>
    <row r="889">
      <c r="A889" s="5"/>
      <c r="B889" s="5"/>
      <c r="C889" s="5"/>
      <c r="D889" s="5"/>
      <c r="E889" s="3"/>
      <c r="F889" s="5"/>
      <c r="G889" s="5"/>
      <c r="H889" s="5"/>
      <c r="I889" s="3"/>
      <c r="J889" s="3"/>
      <c r="K889" s="3"/>
      <c r="L889" s="3"/>
      <c r="M889" s="3"/>
      <c r="N889" s="3"/>
      <c r="O889" s="3"/>
      <c r="P889" s="3"/>
      <c r="Q889" s="3"/>
      <c r="R889" s="3"/>
      <c r="S889" s="3"/>
      <c r="T889" s="3"/>
      <c r="U889" s="3"/>
      <c r="V889" s="3"/>
      <c r="W889" s="3"/>
      <c r="X889" s="3"/>
      <c r="Y889" s="3"/>
    </row>
    <row r="890">
      <c r="A890" s="5"/>
      <c r="B890" s="5"/>
      <c r="C890" s="5"/>
      <c r="D890" s="5"/>
      <c r="E890" s="3"/>
      <c r="F890" s="5"/>
      <c r="G890" s="5"/>
      <c r="H890" s="5"/>
      <c r="I890" s="3"/>
      <c r="J890" s="3"/>
      <c r="K890" s="3"/>
      <c r="L890" s="3"/>
      <c r="M890" s="3"/>
      <c r="N890" s="3"/>
      <c r="O890" s="3"/>
      <c r="P890" s="3"/>
      <c r="Q890" s="3"/>
      <c r="R890" s="3"/>
      <c r="S890" s="3"/>
      <c r="T890" s="3"/>
      <c r="U890" s="3"/>
      <c r="V890" s="3"/>
      <c r="W890" s="3"/>
      <c r="X890" s="3"/>
      <c r="Y890" s="3"/>
    </row>
    <row r="891">
      <c r="A891" s="5"/>
      <c r="B891" s="5"/>
      <c r="C891" s="5"/>
      <c r="D891" s="5"/>
      <c r="E891" s="3"/>
      <c r="F891" s="5"/>
      <c r="G891" s="5"/>
      <c r="H891" s="5"/>
      <c r="I891" s="3"/>
      <c r="J891" s="3"/>
      <c r="K891" s="3"/>
      <c r="L891" s="3"/>
      <c r="M891" s="3"/>
      <c r="N891" s="3"/>
      <c r="O891" s="3"/>
      <c r="P891" s="3"/>
      <c r="Q891" s="3"/>
      <c r="R891" s="3"/>
      <c r="S891" s="3"/>
      <c r="T891" s="3"/>
      <c r="U891" s="3"/>
      <c r="V891" s="3"/>
      <c r="W891" s="3"/>
      <c r="X891" s="3"/>
      <c r="Y891" s="3"/>
    </row>
    <row r="892">
      <c r="A892" s="5"/>
      <c r="B892" s="5"/>
      <c r="C892" s="5"/>
      <c r="D892" s="5"/>
      <c r="E892" s="3"/>
      <c r="F892" s="5"/>
      <c r="G892" s="5"/>
      <c r="H892" s="5"/>
      <c r="I892" s="3"/>
      <c r="J892" s="3"/>
      <c r="K892" s="3"/>
      <c r="L892" s="3"/>
      <c r="M892" s="3"/>
      <c r="N892" s="3"/>
      <c r="O892" s="3"/>
      <c r="P892" s="3"/>
      <c r="Q892" s="3"/>
      <c r="R892" s="3"/>
      <c r="S892" s="3"/>
      <c r="T892" s="3"/>
      <c r="U892" s="3"/>
      <c r="V892" s="3"/>
      <c r="W892" s="3"/>
      <c r="X892" s="3"/>
      <c r="Y892" s="3"/>
    </row>
    <row r="893">
      <c r="A893" s="5"/>
      <c r="B893" s="5"/>
      <c r="C893" s="5"/>
      <c r="D893" s="5"/>
      <c r="E893" s="3"/>
      <c r="F893" s="5"/>
      <c r="G893" s="5"/>
      <c r="H893" s="5"/>
      <c r="I893" s="3"/>
      <c r="J893" s="3"/>
      <c r="K893" s="3"/>
      <c r="L893" s="3"/>
      <c r="M893" s="3"/>
      <c r="N893" s="3"/>
      <c r="O893" s="3"/>
      <c r="P893" s="3"/>
      <c r="Q893" s="3"/>
      <c r="R893" s="3"/>
      <c r="S893" s="3"/>
      <c r="T893" s="3"/>
      <c r="U893" s="3"/>
      <c r="V893" s="3"/>
      <c r="W893" s="3"/>
      <c r="X893" s="3"/>
      <c r="Y893" s="3"/>
    </row>
    <row r="894">
      <c r="A894" s="5"/>
      <c r="B894" s="5"/>
      <c r="C894" s="5"/>
      <c r="D894" s="5"/>
      <c r="E894" s="3"/>
      <c r="F894" s="5"/>
      <c r="G894" s="5"/>
      <c r="H894" s="5"/>
      <c r="I894" s="3"/>
      <c r="J894" s="3"/>
      <c r="K894" s="3"/>
      <c r="L894" s="3"/>
      <c r="M894" s="3"/>
      <c r="N894" s="3"/>
      <c r="O894" s="3"/>
      <c r="P894" s="3"/>
      <c r="Q894" s="3"/>
      <c r="R894" s="3"/>
      <c r="S894" s="3"/>
      <c r="T894" s="3"/>
      <c r="U894" s="3"/>
      <c r="V894" s="3"/>
      <c r="W894" s="3"/>
      <c r="X894" s="3"/>
      <c r="Y894" s="3"/>
    </row>
    <row r="895">
      <c r="A895" s="5"/>
      <c r="B895" s="5"/>
      <c r="C895" s="5"/>
      <c r="D895" s="5"/>
      <c r="E895" s="3"/>
      <c r="F895" s="5"/>
      <c r="G895" s="5"/>
      <c r="H895" s="5"/>
      <c r="I895" s="3"/>
      <c r="J895" s="3"/>
      <c r="K895" s="3"/>
      <c r="L895" s="3"/>
      <c r="M895" s="3"/>
      <c r="N895" s="3"/>
      <c r="O895" s="3"/>
      <c r="P895" s="3"/>
      <c r="Q895" s="3"/>
      <c r="R895" s="3"/>
      <c r="S895" s="3"/>
      <c r="T895" s="3"/>
      <c r="U895" s="3"/>
      <c r="V895" s="3"/>
      <c r="W895" s="3"/>
      <c r="X895" s="3"/>
      <c r="Y895" s="3"/>
    </row>
    <row r="896">
      <c r="A896" s="5"/>
      <c r="B896" s="5"/>
      <c r="C896" s="5"/>
      <c r="D896" s="5"/>
      <c r="E896" s="3"/>
      <c r="F896" s="5"/>
      <c r="G896" s="5"/>
      <c r="H896" s="5"/>
      <c r="I896" s="3"/>
      <c r="J896" s="3"/>
      <c r="K896" s="3"/>
      <c r="L896" s="3"/>
      <c r="M896" s="3"/>
      <c r="N896" s="3"/>
      <c r="O896" s="3"/>
      <c r="P896" s="3"/>
      <c r="Q896" s="3"/>
      <c r="R896" s="3"/>
      <c r="S896" s="3"/>
      <c r="T896" s="3"/>
      <c r="U896" s="3"/>
      <c r="V896" s="3"/>
      <c r="W896" s="3"/>
      <c r="X896" s="3"/>
      <c r="Y896" s="3"/>
    </row>
    <row r="897">
      <c r="A897" s="5"/>
      <c r="B897" s="5"/>
      <c r="C897" s="5"/>
      <c r="D897" s="5"/>
      <c r="E897" s="3"/>
      <c r="F897" s="5"/>
      <c r="G897" s="5"/>
      <c r="H897" s="5"/>
      <c r="I897" s="3"/>
      <c r="J897" s="3"/>
      <c r="K897" s="3"/>
      <c r="L897" s="3"/>
      <c r="M897" s="3"/>
      <c r="N897" s="3"/>
      <c r="O897" s="3"/>
      <c r="P897" s="3"/>
      <c r="Q897" s="3"/>
      <c r="R897" s="3"/>
      <c r="S897" s="3"/>
      <c r="T897" s="3"/>
      <c r="U897" s="3"/>
      <c r="V897" s="3"/>
      <c r="W897" s="3"/>
      <c r="X897" s="3"/>
      <c r="Y897" s="3"/>
    </row>
    <row r="898">
      <c r="A898" s="5"/>
      <c r="B898" s="5"/>
      <c r="C898" s="5"/>
      <c r="D898" s="5"/>
      <c r="E898" s="3"/>
      <c r="F898" s="5"/>
      <c r="G898" s="5"/>
      <c r="H898" s="5"/>
      <c r="I898" s="3"/>
      <c r="J898" s="3"/>
      <c r="K898" s="3"/>
      <c r="L898" s="3"/>
      <c r="M898" s="3"/>
      <c r="N898" s="3"/>
      <c r="O898" s="3"/>
      <c r="P898" s="3"/>
      <c r="Q898" s="3"/>
      <c r="R898" s="3"/>
      <c r="S898" s="3"/>
      <c r="T898" s="3"/>
      <c r="U898" s="3"/>
      <c r="V898" s="3"/>
      <c r="W898" s="3"/>
      <c r="X898" s="3"/>
      <c r="Y898" s="3"/>
    </row>
    <row r="899">
      <c r="A899" s="5"/>
      <c r="B899" s="5"/>
      <c r="C899" s="5"/>
      <c r="D899" s="5"/>
      <c r="E899" s="3"/>
      <c r="F899" s="5"/>
      <c r="G899" s="5"/>
      <c r="H899" s="5"/>
      <c r="I899" s="3"/>
      <c r="J899" s="3"/>
      <c r="K899" s="3"/>
      <c r="L899" s="3"/>
      <c r="M899" s="3"/>
      <c r="N899" s="3"/>
      <c r="O899" s="3"/>
      <c r="P899" s="3"/>
      <c r="Q899" s="3"/>
      <c r="R899" s="3"/>
      <c r="S899" s="3"/>
      <c r="T899" s="3"/>
      <c r="U899" s="3"/>
      <c r="V899" s="3"/>
      <c r="W899" s="3"/>
      <c r="X899" s="3"/>
      <c r="Y899" s="3"/>
    </row>
    <row r="900">
      <c r="A900" s="5"/>
      <c r="B900" s="5"/>
      <c r="C900" s="5"/>
      <c r="D900" s="5"/>
      <c r="E900" s="3"/>
      <c r="F900" s="5"/>
      <c r="G900" s="5"/>
      <c r="H900" s="5"/>
      <c r="I900" s="3"/>
      <c r="J900" s="3"/>
      <c r="K900" s="3"/>
      <c r="L900" s="3"/>
      <c r="M900" s="3"/>
      <c r="N900" s="3"/>
      <c r="O900" s="3"/>
      <c r="P900" s="3"/>
      <c r="Q900" s="3"/>
      <c r="R900" s="3"/>
      <c r="S900" s="3"/>
      <c r="T900" s="3"/>
      <c r="U900" s="3"/>
      <c r="V900" s="3"/>
      <c r="W900" s="3"/>
      <c r="X900" s="3"/>
      <c r="Y900" s="3"/>
    </row>
    <row r="901">
      <c r="A901" s="5"/>
      <c r="B901" s="5"/>
      <c r="C901" s="5"/>
      <c r="D901" s="5"/>
      <c r="E901" s="3"/>
      <c r="F901" s="5"/>
      <c r="G901" s="5"/>
      <c r="H901" s="5"/>
      <c r="I901" s="3"/>
      <c r="J901" s="3"/>
      <c r="K901" s="3"/>
      <c r="L901" s="3"/>
      <c r="M901" s="3"/>
      <c r="N901" s="3"/>
      <c r="O901" s="3"/>
      <c r="P901" s="3"/>
      <c r="Q901" s="3"/>
      <c r="R901" s="3"/>
      <c r="S901" s="3"/>
      <c r="T901" s="3"/>
      <c r="U901" s="3"/>
      <c r="V901" s="3"/>
      <c r="W901" s="3"/>
      <c r="X901" s="3"/>
      <c r="Y901" s="3"/>
    </row>
    <row r="902">
      <c r="A902" s="5"/>
      <c r="B902" s="5"/>
      <c r="C902" s="5"/>
      <c r="D902" s="5"/>
      <c r="E902" s="3"/>
      <c r="F902" s="5"/>
      <c r="G902" s="5"/>
      <c r="H902" s="5"/>
      <c r="I902" s="3"/>
      <c r="J902" s="3"/>
      <c r="K902" s="3"/>
      <c r="L902" s="3"/>
      <c r="M902" s="3"/>
      <c r="N902" s="3"/>
      <c r="O902" s="3"/>
      <c r="P902" s="3"/>
      <c r="Q902" s="3"/>
      <c r="R902" s="3"/>
      <c r="S902" s="3"/>
      <c r="T902" s="3"/>
      <c r="U902" s="3"/>
      <c r="V902" s="3"/>
      <c r="W902" s="3"/>
      <c r="X902" s="3"/>
      <c r="Y902" s="3"/>
    </row>
    <row r="903">
      <c r="A903" s="5"/>
      <c r="B903" s="5"/>
      <c r="C903" s="5"/>
      <c r="D903" s="5"/>
      <c r="E903" s="3"/>
      <c r="F903" s="5"/>
      <c r="G903" s="5"/>
      <c r="H903" s="5"/>
      <c r="I903" s="3"/>
      <c r="J903" s="3"/>
      <c r="K903" s="3"/>
      <c r="L903" s="3"/>
      <c r="M903" s="3"/>
      <c r="N903" s="3"/>
      <c r="O903" s="3"/>
      <c r="P903" s="3"/>
      <c r="Q903" s="3"/>
      <c r="R903" s="3"/>
      <c r="S903" s="3"/>
      <c r="T903" s="3"/>
      <c r="U903" s="3"/>
      <c r="V903" s="3"/>
      <c r="W903" s="3"/>
      <c r="X903" s="3"/>
      <c r="Y903" s="3"/>
    </row>
    <row r="904">
      <c r="A904" s="5"/>
      <c r="B904" s="5"/>
      <c r="C904" s="5"/>
      <c r="D904" s="5"/>
      <c r="E904" s="3"/>
      <c r="F904" s="5"/>
      <c r="G904" s="5"/>
      <c r="H904" s="5"/>
      <c r="I904" s="3"/>
      <c r="J904" s="3"/>
      <c r="K904" s="3"/>
      <c r="L904" s="3"/>
      <c r="M904" s="3"/>
      <c r="N904" s="3"/>
      <c r="O904" s="3"/>
      <c r="P904" s="3"/>
      <c r="Q904" s="3"/>
      <c r="R904" s="3"/>
      <c r="S904" s="3"/>
      <c r="T904" s="3"/>
      <c r="U904" s="3"/>
      <c r="V904" s="3"/>
      <c r="W904" s="3"/>
      <c r="X904" s="3"/>
      <c r="Y904" s="3"/>
    </row>
    <row r="905">
      <c r="A905" s="5"/>
      <c r="B905" s="5"/>
      <c r="C905" s="5"/>
      <c r="D905" s="5"/>
      <c r="E905" s="3"/>
      <c r="F905" s="5"/>
      <c r="G905" s="5"/>
      <c r="H905" s="5"/>
      <c r="I905" s="3"/>
      <c r="J905" s="3"/>
      <c r="K905" s="3"/>
      <c r="L905" s="3"/>
      <c r="M905" s="3"/>
      <c r="N905" s="3"/>
      <c r="O905" s="3"/>
      <c r="P905" s="3"/>
      <c r="Q905" s="3"/>
      <c r="R905" s="3"/>
      <c r="S905" s="3"/>
      <c r="T905" s="3"/>
      <c r="U905" s="3"/>
      <c r="V905" s="3"/>
      <c r="W905" s="3"/>
      <c r="X905" s="3"/>
      <c r="Y905" s="3"/>
    </row>
    <row r="906">
      <c r="A906" s="5"/>
      <c r="B906" s="5"/>
      <c r="C906" s="5"/>
      <c r="D906" s="5"/>
      <c r="E906" s="3"/>
      <c r="F906" s="5"/>
      <c r="G906" s="5"/>
      <c r="H906" s="5"/>
      <c r="I906" s="3"/>
      <c r="J906" s="3"/>
      <c r="K906" s="3"/>
      <c r="L906" s="3"/>
      <c r="M906" s="3"/>
      <c r="N906" s="3"/>
      <c r="O906" s="3"/>
      <c r="P906" s="3"/>
      <c r="Q906" s="3"/>
      <c r="R906" s="3"/>
      <c r="S906" s="3"/>
      <c r="T906" s="3"/>
      <c r="U906" s="3"/>
      <c r="V906" s="3"/>
      <c r="W906" s="3"/>
      <c r="X906" s="3"/>
      <c r="Y906" s="3"/>
    </row>
    <row r="907">
      <c r="A907" s="5"/>
      <c r="B907" s="5"/>
      <c r="C907" s="5"/>
      <c r="D907" s="5"/>
      <c r="E907" s="3"/>
      <c r="F907" s="5"/>
      <c r="G907" s="5"/>
      <c r="H907" s="5"/>
      <c r="I907" s="3"/>
      <c r="J907" s="3"/>
      <c r="K907" s="3"/>
      <c r="L907" s="3"/>
      <c r="M907" s="3"/>
      <c r="N907" s="3"/>
      <c r="O907" s="3"/>
      <c r="P907" s="3"/>
      <c r="Q907" s="3"/>
      <c r="R907" s="3"/>
      <c r="S907" s="3"/>
      <c r="T907" s="3"/>
      <c r="U907" s="3"/>
      <c r="V907" s="3"/>
      <c r="W907" s="3"/>
      <c r="X907" s="3"/>
      <c r="Y907" s="3"/>
    </row>
    <row r="908">
      <c r="A908" s="5"/>
      <c r="B908" s="5"/>
      <c r="C908" s="5"/>
      <c r="D908" s="5"/>
      <c r="E908" s="3"/>
      <c r="F908" s="5"/>
      <c r="G908" s="5"/>
      <c r="H908" s="5"/>
      <c r="I908" s="3"/>
      <c r="J908" s="3"/>
      <c r="K908" s="3"/>
      <c r="L908" s="3"/>
      <c r="M908" s="3"/>
      <c r="N908" s="3"/>
      <c r="O908" s="3"/>
      <c r="P908" s="3"/>
      <c r="Q908" s="3"/>
      <c r="R908" s="3"/>
      <c r="S908" s="3"/>
      <c r="T908" s="3"/>
      <c r="U908" s="3"/>
      <c r="V908" s="3"/>
      <c r="W908" s="3"/>
      <c r="X908" s="3"/>
      <c r="Y908" s="3"/>
    </row>
    <row r="909">
      <c r="A909" s="5"/>
      <c r="B909" s="5"/>
      <c r="C909" s="5"/>
      <c r="D909" s="5"/>
      <c r="E909" s="3"/>
      <c r="F909" s="5"/>
      <c r="G909" s="5"/>
      <c r="H909" s="5"/>
      <c r="I909" s="3"/>
      <c r="J909" s="3"/>
      <c r="K909" s="3"/>
      <c r="L909" s="3"/>
      <c r="M909" s="3"/>
      <c r="N909" s="3"/>
      <c r="O909" s="3"/>
      <c r="P909" s="3"/>
      <c r="Q909" s="3"/>
      <c r="R909" s="3"/>
      <c r="S909" s="3"/>
      <c r="T909" s="3"/>
      <c r="U909" s="3"/>
      <c r="V909" s="3"/>
      <c r="W909" s="3"/>
      <c r="X909" s="3"/>
      <c r="Y909" s="3"/>
    </row>
    <row r="910">
      <c r="A910" s="5"/>
      <c r="B910" s="5"/>
      <c r="C910" s="5"/>
      <c r="D910" s="5"/>
      <c r="E910" s="3"/>
      <c r="F910" s="5"/>
      <c r="G910" s="5"/>
      <c r="H910" s="5"/>
      <c r="I910" s="3"/>
      <c r="J910" s="3"/>
      <c r="K910" s="3"/>
      <c r="L910" s="3"/>
      <c r="M910" s="3"/>
      <c r="N910" s="3"/>
      <c r="O910" s="3"/>
      <c r="P910" s="3"/>
      <c r="Q910" s="3"/>
      <c r="R910" s="3"/>
      <c r="S910" s="3"/>
      <c r="T910" s="3"/>
      <c r="U910" s="3"/>
      <c r="V910" s="3"/>
      <c r="W910" s="3"/>
      <c r="X910" s="3"/>
      <c r="Y910" s="3"/>
    </row>
    <row r="911">
      <c r="A911" s="5"/>
      <c r="B911" s="5"/>
      <c r="C911" s="5"/>
      <c r="D911" s="5"/>
      <c r="E911" s="3"/>
      <c r="F911" s="5"/>
      <c r="G911" s="5"/>
      <c r="H911" s="5"/>
      <c r="I911" s="3"/>
      <c r="J911" s="3"/>
      <c r="K911" s="3"/>
      <c r="L911" s="3"/>
      <c r="M911" s="3"/>
      <c r="N911" s="3"/>
      <c r="O911" s="3"/>
      <c r="P911" s="3"/>
      <c r="Q911" s="3"/>
      <c r="R911" s="3"/>
      <c r="S911" s="3"/>
      <c r="T911" s="3"/>
      <c r="U911" s="3"/>
      <c r="V911" s="3"/>
      <c r="W911" s="3"/>
      <c r="X911" s="3"/>
      <c r="Y911" s="3"/>
    </row>
    <row r="912">
      <c r="A912" s="5"/>
      <c r="B912" s="5"/>
      <c r="C912" s="5"/>
      <c r="D912" s="5"/>
      <c r="E912" s="3"/>
      <c r="F912" s="5"/>
      <c r="G912" s="5"/>
      <c r="H912" s="5"/>
      <c r="I912" s="3"/>
      <c r="J912" s="3"/>
      <c r="K912" s="3"/>
      <c r="L912" s="3"/>
      <c r="M912" s="3"/>
      <c r="N912" s="3"/>
      <c r="O912" s="3"/>
      <c r="P912" s="3"/>
      <c r="Q912" s="3"/>
      <c r="R912" s="3"/>
      <c r="S912" s="3"/>
      <c r="T912" s="3"/>
      <c r="U912" s="3"/>
      <c r="V912" s="3"/>
      <c r="W912" s="3"/>
      <c r="X912" s="3"/>
      <c r="Y912" s="3"/>
    </row>
    <row r="913">
      <c r="A913" s="5"/>
      <c r="B913" s="5"/>
      <c r="C913" s="5"/>
      <c r="D913" s="5"/>
      <c r="E913" s="3"/>
      <c r="F913" s="5"/>
      <c r="G913" s="5"/>
      <c r="H913" s="5"/>
      <c r="I913" s="3"/>
      <c r="J913" s="3"/>
      <c r="K913" s="3"/>
      <c r="L913" s="3"/>
      <c r="M913" s="3"/>
      <c r="N913" s="3"/>
      <c r="O913" s="3"/>
      <c r="P913" s="3"/>
      <c r="Q913" s="3"/>
      <c r="R913" s="3"/>
      <c r="S913" s="3"/>
      <c r="T913" s="3"/>
      <c r="U913" s="3"/>
      <c r="V913" s="3"/>
      <c r="W913" s="3"/>
      <c r="X913" s="3"/>
      <c r="Y913" s="3"/>
    </row>
    <row r="914">
      <c r="A914" s="5"/>
      <c r="B914" s="5"/>
      <c r="C914" s="5"/>
      <c r="D914" s="5"/>
      <c r="E914" s="3"/>
      <c r="F914" s="5"/>
      <c r="G914" s="5"/>
      <c r="H914" s="5"/>
      <c r="I914" s="3"/>
      <c r="J914" s="3"/>
      <c r="K914" s="3"/>
      <c r="L914" s="3"/>
      <c r="M914" s="3"/>
      <c r="N914" s="3"/>
      <c r="O914" s="3"/>
      <c r="P914" s="3"/>
      <c r="Q914" s="3"/>
      <c r="R914" s="3"/>
      <c r="S914" s="3"/>
      <c r="T914" s="3"/>
      <c r="U914" s="3"/>
      <c r="V914" s="3"/>
      <c r="W914" s="3"/>
      <c r="X914" s="3"/>
      <c r="Y914" s="3"/>
    </row>
    <row r="915">
      <c r="A915" s="5"/>
      <c r="B915" s="5"/>
      <c r="C915" s="5"/>
      <c r="D915" s="5"/>
      <c r="E915" s="3"/>
      <c r="F915" s="5"/>
      <c r="G915" s="5"/>
      <c r="H915" s="5"/>
      <c r="I915" s="3"/>
      <c r="J915" s="3"/>
      <c r="K915" s="3"/>
      <c r="L915" s="3"/>
      <c r="M915" s="3"/>
      <c r="N915" s="3"/>
      <c r="O915" s="3"/>
      <c r="P915" s="3"/>
      <c r="Q915" s="3"/>
      <c r="R915" s="3"/>
      <c r="S915" s="3"/>
      <c r="T915" s="3"/>
      <c r="U915" s="3"/>
      <c r="V915" s="3"/>
      <c r="W915" s="3"/>
      <c r="X915" s="3"/>
      <c r="Y915" s="3"/>
    </row>
    <row r="916">
      <c r="A916" s="5"/>
      <c r="B916" s="5"/>
      <c r="C916" s="5"/>
      <c r="D916" s="5"/>
      <c r="E916" s="3"/>
      <c r="F916" s="5"/>
      <c r="G916" s="5"/>
      <c r="H916" s="5"/>
      <c r="I916" s="3"/>
      <c r="J916" s="3"/>
      <c r="K916" s="3"/>
      <c r="L916" s="3"/>
      <c r="M916" s="3"/>
      <c r="N916" s="3"/>
      <c r="O916" s="3"/>
      <c r="P916" s="3"/>
      <c r="Q916" s="3"/>
      <c r="R916" s="3"/>
      <c r="S916" s="3"/>
      <c r="T916" s="3"/>
      <c r="U916" s="3"/>
      <c r="V916" s="3"/>
      <c r="W916" s="3"/>
      <c r="X916" s="3"/>
      <c r="Y916" s="3"/>
    </row>
    <row r="917">
      <c r="A917" s="5"/>
      <c r="B917" s="5"/>
      <c r="C917" s="5"/>
      <c r="D917" s="5"/>
      <c r="E917" s="3"/>
      <c r="F917" s="5"/>
      <c r="G917" s="5"/>
      <c r="H917" s="5"/>
      <c r="I917" s="3"/>
      <c r="J917" s="3"/>
      <c r="K917" s="3"/>
      <c r="L917" s="3"/>
      <c r="M917" s="3"/>
      <c r="N917" s="3"/>
      <c r="O917" s="3"/>
      <c r="P917" s="3"/>
      <c r="Q917" s="3"/>
      <c r="R917" s="3"/>
      <c r="S917" s="3"/>
      <c r="T917" s="3"/>
      <c r="U917" s="3"/>
      <c r="V917" s="3"/>
      <c r="W917" s="3"/>
      <c r="X917" s="3"/>
      <c r="Y917" s="3"/>
    </row>
    <row r="918">
      <c r="A918" s="5"/>
      <c r="B918" s="5"/>
      <c r="C918" s="5"/>
      <c r="D918" s="5"/>
      <c r="E918" s="3"/>
      <c r="F918" s="5"/>
      <c r="G918" s="5"/>
      <c r="H918" s="5"/>
      <c r="I918" s="3"/>
      <c r="J918" s="3"/>
      <c r="K918" s="3"/>
      <c r="L918" s="3"/>
      <c r="M918" s="3"/>
      <c r="N918" s="3"/>
      <c r="O918" s="3"/>
      <c r="P918" s="3"/>
      <c r="Q918" s="3"/>
      <c r="R918" s="3"/>
      <c r="S918" s="3"/>
      <c r="T918" s="3"/>
      <c r="U918" s="3"/>
      <c r="V918" s="3"/>
      <c r="W918" s="3"/>
      <c r="X918" s="3"/>
      <c r="Y918" s="3"/>
    </row>
    <row r="919">
      <c r="A919" s="5"/>
      <c r="B919" s="5"/>
      <c r="C919" s="5"/>
      <c r="D919" s="5"/>
      <c r="E919" s="3"/>
      <c r="F919" s="5"/>
      <c r="G919" s="5"/>
      <c r="H919" s="5"/>
      <c r="I919" s="3"/>
      <c r="J919" s="3"/>
      <c r="K919" s="3"/>
      <c r="L919" s="3"/>
      <c r="M919" s="3"/>
      <c r="N919" s="3"/>
      <c r="O919" s="3"/>
      <c r="P919" s="3"/>
      <c r="Q919" s="3"/>
      <c r="R919" s="3"/>
      <c r="S919" s="3"/>
      <c r="T919" s="3"/>
      <c r="U919" s="3"/>
      <c r="V919" s="3"/>
      <c r="W919" s="3"/>
      <c r="X919" s="3"/>
      <c r="Y919" s="3"/>
    </row>
    <row r="920">
      <c r="A920" s="5"/>
      <c r="B920" s="5"/>
      <c r="C920" s="5"/>
      <c r="D920" s="5"/>
      <c r="E920" s="3"/>
      <c r="F920" s="5"/>
      <c r="G920" s="5"/>
      <c r="H920" s="5"/>
      <c r="I920" s="3"/>
      <c r="J920" s="3"/>
      <c r="K920" s="3"/>
      <c r="L920" s="3"/>
      <c r="M920" s="3"/>
      <c r="N920" s="3"/>
      <c r="O920" s="3"/>
      <c r="P920" s="3"/>
      <c r="Q920" s="3"/>
      <c r="R920" s="3"/>
      <c r="S920" s="3"/>
      <c r="T920" s="3"/>
      <c r="U920" s="3"/>
      <c r="V920" s="3"/>
      <c r="W920" s="3"/>
      <c r="X920" s="3"/>
      <c r="Y920" s="3"/>
    </row>
    <row r="921">
      <c r="A921" s="5"/>
      <c r="B921" s="5"/>
      <c r="C921" s="5"/>
      <c r="D921" s="5"/>
      <c r="E921" s="3"/>
      <c r="F921" s="5"/>
      <c r="G921" s="5"/>
      <c r="H921" s="5"/>
      <c r="I921" s="3"/>
      <c r="J921" s="3"/>
      <c r="K921" s="3"/>
      <c r="L921" s="3"/>
      <c r="M921" s="3"/>
      <c r="N921" s="3"/>
      <c r="O921" s="3"/>
      <c r="P921" s="3"/>
      <c r="Q921" s="3"/>
      <c r="R921" s="3"/>
      <c r="S921" s="3"/>
      <c r="T921" s="3"/>
      <c r="U921" s="3"/>
      <c r="V921" s="3"/>
      <c r="W921" s="3"/>
      <c r="X921" s="3"/>
      <c r="Y921" s="3"/>
    </row>
    <row r="922">
      <c r="A922" s="5"/>
      <c r="B922" s="5"/>
      <c r="C922" s="5"/>
      <c r="D922" s="5"/>
      <c r="E922" s="3"/>
      <c r="F922" s="5"/>
      <c r="G922" s="5"/>
      <c r="H922" s="5"/>
      <c r="I922" s="3"/>
      <c r="J922" s="3"/>
      <c r="K922" s="3"/>
      <c r="L922" s="3"/>
      <c r="M922" s="3"/>
      <c r="N922" s="3"/>
      <c r="O922" s="3"/>
      <c r="P922" s="3"/>
      <c r="Q922" s="3"/>
      <c r="R922" s="3"/>
      <c r="S922" s="3"/>
      <c r="T922" s="3"/>
      <c r="U922" s="3"/>
      <c r="V922" s="3"/>
      <c r="W922" s="3"/>
      <c r="X922" s="3"/>
      <c r="Y922" s="3"/>
    </row>
    <row r="923">
      <c r="A923" s="5"/>
      <c r="B923" s="5"/>
      <c r="C923" s="5"/>
      <c r="D923" s="5"/>
      <c r="E923" s="3"/>
      <c r="F923" s="5"/>
      <c r="G923" s="5"/>
      <c r="H923" s="5"/>
      <c r="I923" s="3"/>
      <c r="J923" s="3"/>
      <c r="K923" s="3"/>
      <c r="L923" s="3"/>
      <c r="M923" s="3"/>
      <c r="N923" s="3"/>
      <c r="O923" s="3"/>
      <c r="P923" s="3"/>
      <c r="Q923" s="3"/>
      <c r="R923" s="3"/>
      <c r="S923" s="3"/>
      <c r="T923" s="3"/>
      <c r="U923" s="3"/>
      <c r="V923" s="3"/>
      <c r="W923" s="3"/>
      <c r="X923" s="3"/>
      <c r="Y923" s="3"/>
    </row>
    <row r="924">
      <c r="A924" s="5"/>
      <c r="B924" s="5"/>
      <c r="C924" s="5"/>
      <c r="D924" s="5"/>
      <c r="E924" s="3"/>
      <c r="F924" s="5"/>
      <c r="G924" s="5"/>
      <c r="H924" s="5"/>
      <c r="I924" s="3"/>
      <c r="J924" s="3"/>
      <c r="K924" s="3"/>
      <c r="L924" s="3"/>
      <c r="M924" s="3"/>
      <c r="N924" s="3"/>
      <c r="O924" s="3"/>
      <c r="P924" s="3"/>
      <c r="Q924" s="3"/>
      <c r="R924" s="3"/>
      <c r="S924" s="3"/>
      <c r="T924" s="3"/>
      <c r="U924" s="3"/>
      <c r="V924" s="3"/>
      <c r="W924" s="3"/>
      <c r="X924" s="3"/>
      <c r="Y924" s="3"/>
    </row>
    <row r="925">
      <c r="A925" s="5"/>
      <c r="B925" s="5"/>
      <c r="C925" s="5"/>
      <c r="D925" s="5"/>
      <c r="E925" s="3"/>
      <c r="F925" s="5"/>
      <c r="G925" s="5"/>
      <c r="H925" s="5"/>
      <c r="I925" s="3"/>
      <c r="J925" s="3"/>
      <c r="K925" s="3"/>
      <c r="L925" s="3"/>
      <c r="M925" s="3"/>
      <c r="N925" s="3"/>
      <c r="O925" s="3"/>
      <c r="P925" s="3"/>
      <c r="Q925" s="3"/>
      <c r="R925" s="3"/>
      <c r="S925" s="3"/>
      <c r="T925" s="3"/>
      <c r="U925" s="3"/>
      <c r="V925" s="3"/>
      <c r="W925" s="3"/>
      <c r="X925" s="3"/>
      <c r="Y925" s="3"/>
    </row>
    <row r="926">
      <c r="A926" s="5"/>
      <c r="B926" s="5"/>
      <c r="C926" s="5"/>
      <c r="D926" s="5"/>
      <c r="E926" s="3"/>
      <c r="F926" s="5"/>
      <c r="G926" s="5"/>
      <c r="H926" s="5"/>
      <c r="I926" s="3"/>
      <c r="J926" s="3"/>
      <c r="K926" s="3"/>
      <c r="L926" s="3"/>
      <c r="M926" s="3"/>
      <c r="N926" s="3"/>
      <c r="O926" s="3"/>
      <c r="P926" s="3"/>
      <c r="Q926" s="3"/>
      <c r="R926" s="3"/>
      <c r="S926" s="3"/>
      <c r="T926" s="3"/>
      <c r="U926" s="3"/>
      <c r="V926" s="3"/>
      <c r="W926" s="3"/>
      <c r="X926" s="3"/>
      <c r="Y926" s="3"/>
    </row>
    <row r="927">
      <c r="A927" s="5"/>
      <c r="B927" s="5"/>
      <c r="C927" s="5"/>
      <c r="D927" s="5"/>
      <c r="E927" s="3"/>
      <c r="F927" s="5"/>
      <c r="G927" s="5"/>
      <c r="H927" s="5"/>
      <c r="I927" s="3"/>
      <c r="J927" s="3"/>
      <c r="K927" s="3"/>
      <c r="L927" s="3"/>
      <c r="M927" s="3"/>
      <c r="N927" s="3"/>
      <c r="O927" s="3"/>
      <c r="P927" s="3"/>
      <c r="Q927" s="3"/>
      <c r="R927" s="3"/>
      <c r="S927" s="3"/>
      <c r="T927" s="3"/>
      <c r="U927" s="3"/>
      <c r="V927" s="3"/>
      <c r="W927" s="3"/>
      <c r="X927" s="3"/>
      <c r="Y927" s="3"/>
    </row>
    <row r="928">
      <c r="A928" s="5"/>
      <c r="B928" s="5"/>
      <c r="C928" s="5"/>
      <c r="D928" s="5"/>
      <c r="E928" s="3"/>
      <c r="F928" s="5"/>
      <c r="G928" s="5"/>
      <c r="H928" s="5"/>
      <c r="I928" s="3"/>
      <c r="J928" s="3"/>
      <c r="K928" s="3"/>
      <c r="L928" s="3"/>
      <c r="M928" s="3"/>
      <c r="N928" s="3"/>
      <c r="O928" s="3"/>
      <c r="P928" s="3"/>
      <c r="Q928" s="3"/>
      <c r="R928" s="3"/>
      <c r="S928" s="3"/>
      <c r="T928" s="3"/>
      <c r="U928" s="3"/>
      <c r="V928" s="3"/>
      <c r="W928" s="3"/>
      <c r="X928" s="3"/>
      <c r="Y928" s="3"/>
    </row>
    <row r="929">
      <c r="A929" s="5"/>
      <c r="B929" s="5"/>
      <c r="C929" s="5"/>
      <c r="D929" s="5"/>
      <c r="E929" s="3"/>
      <c r="F929" s="5"/>
      <c r="G929" s="5"/>
      <c r="H929" s="5"/>
      <c r="I929" s="3"/>
      <c r="J929" s="3"/>
      <c r="K929" s="3"/>
      <c r="L929" s="3"/>
      <c r="M929" s="3"/>
      <c r="N929" s="3"/>
      <c r="O929" s="3"/>
      <c r="P929" s="3"/>
      <c r="Q929" s="3"/>
      <c r="R929" s="3"/>
      <c r="S929" s="3"/>
      <c r="T929" s="3"/>
      <c r="U929" s="3"/>
      <c r="V929" s="3"/>
      <c r="W929" s="3"/>
      <c r="X929" s="3"/>
      <c r="Y929" s="3"/>
    </row>
    <row r="930">
      <c r="A930" s="5"/>
      <c r="B930" s="5"/>
      <c r="C930" s="5"/>
      <c r="D930" s="5"/>
      <c r="E930" s="3"/>
      <c r="F930" s="5"/>
      <c r="G930" s="5"/>
      <c r="H930" s="5"/>
      <c r="I930" s="3"/>
      <c r="J930" s="3"/>
      <c r="K930" s="3"/>
      <c r="L930" s="3"/>
      <c r="M930" s="3"/>
      <c r="N930" s="3"/>
      <c r="O930" s="3"/>
      <c r="P930" s="3"/>
      <c r="Q930" s="3"/>
      <c r="R930" s="3"/>
      <c r="S930" s="3"/>
      <c r="T930" s="3"/>
      <c r="U930" s="3"/>
      <c r="V930" s="3"/>
      <c r="W930" s="3"/>
      <c r="X930" s="3"/>
      <c r="Y930" s="3"/>
    </row>
    <row r="931">
      <c r="A931" s="5"/>
      <c r="B931" s="5"/>
      <c r="C931" s="5"/>
      <c r="D931" s="5"/>
      <c r="E931" s="3"/>
      <c r="F931" s="5"/>
      <c r="G931" s="5"/>
      <c r="H931" s="5"/>
      <c r="I931" s="3"/>
      <c r="J931" s="3"/>
      <c r="K931" s="3"/>
      <c r="L931" s="3"/>
      <c r="M931" s="3"/>
      <c r="N931" s="3"/>
      <c r="O931" s="3"/>
      <c r="P931" s="3"/>
      <c r="Q931" s="3"/>
      <c r="R931" s="3"/>
      <c r="S931" s="3"/>
      <c r="T931" s="3"/>
      <c r="U931" s="3"/>
      <c r="V931" s="3"/>
      <c r="W931" s="3"/>
      <c r="X931" s="3"/>
      <c r="Y931" s="3"/>
    </row>
    <row r="932">
      <c r="A932" s="5"/>
      <c r="B932" s="5"/>
      <c r="C932" s="5"/>
      <c r="D932" s="5"/>
      <c r="E932" s="3"/>
      <c r="F932" s="5"/>
      <c r="G932" s="5"/>
      <c r="H932" s="5"/>
      <c r="I932" s="3"/>
      <c r="J932" s="3"/>
      <c r="K932" s="3"/>
      <c r="L932" s="3"/>
      <c r="M932" s="3"/>
      <c r="N932" s="3"/>
      <c r="O932" s="3"/>
      <c r="P932" s="3"/>
      <c r="Q932" s="3"/>
      <c r="R932" s="3"/>
      <c r="S932" s="3"/>
      <c r="T932" s="3"/>
      <c r="U932" s="3"/>
      <c r="V932" s="3"/>
      <c r="W932" s="3"/>
      <c r="X932" s="3"/>
      <c r="Y932" s="3"/>
    </row>
    <row r="933">
      <c r="A933" s="5"/>
      <c r="B933" s="5"/>
      <c r="C933" s="5"/>
      <c r="D933" s="5"/>
      <c r="E933" s="3"/>
      <c r="F933" s="5"/>
      <c r="G933" s="5"/>
      <c r="H933" s="5"/>
      <c r="I933" s="3"/>
      <c r="J933" s="3"/>
      <c r="K933" s="3"/>
      <c r="L933" s="3"/>
      <c r="M933" s="3"/>
      <c r="N933" s="3"/>
      <c r="O933" s="3"/>
      <c r="P933" s="3"/>
      <c r="Q933" s="3"/>
      <c r="R933" s="3"/>
      <c r="S933" s="3"/>
      <c r="T933" s="3"/>
      <c r="U933" s="3"/>
      <c r="V933" s="3"/>
      <c r="W933" s="3"/>
      <c r="X933" s="3"/>
      <c r="Y933" s="3"/>
    </row>
    <row r="934">
      <c r="A934" s="5"/>
      <c r="B934" s="5"/>
      <c r="C934" s="5"/>
      <c r="D934" s="5"/>
      <c r="E934" s="3"/>
      <c r="F934" s="5"/>
      <c r="G934" s="5"/>
      <c r="H934" s="5"/>
      <c r="I934" s="3"/>
      <c r="J934" s="3"/>
      <c r="K934" s="3"/>
      <c r="L934" s="3"/>
      <c r="M934" s="3"/>
      <c r="N934" s="3"/>
      <c r="O934" s="3"/>
      <c r="P934" s="3"/>
      <c r="Q934" s="3"/>
      <c r="R934" s="3"/>
      <c r="S934" s="3"/>
      <c r="T934" s="3"/>
      <c r="U934" s="3"/>
      <c r="V934" s="3"/>
      <c r="W934" s="3"/>
      <c r="X934" s="3"/>
      <c r="Y934" s="3"/>
    </row>
    <row r="935">
      <c r="A935" s="5"/>
      <c r="B935" s="5"/>
      <c r="C935" s="5"/>
      <c r="D935" s="5"/>
      <c r="E935" s="3"/>
      <c r="F935" s="5"/>
      <c r="G935" s="5"/>
      <c r="H935" s="5"/>
      <c r="I935" s="3"/>
      <c r="J935" s="3"/>
      <c r="K935" s="3"/>
      <c r="L935" s="3"/>
      <c r="M935" s="3"/>
      <c r="N935" s="3"/>
      <c r="O935" s="3"/>
      <c r="P935" s="3"/>
      <c r="Q935" s="3"/>
      <c r="R935" s="3"/>
      <c r="S935" s="3"/>
      <c r="T935" s="3"/>
      <c r="U935" s="3"/>
      <c r="V935" s="3"/>
      <c r="W935" s="3"/>
      <c r="X935" s="3"/>
      <c r="Y935" s="3"/>
    </row>
    <row r="936">
      <c r="A936" s="5"/>
      <c r="B936" s="5"/>
      <c r="C936" s="5"/>
      <c r="D936" s="5"/>
      <c r="E936" s="3"/>
      <c r="F936" s="5"/>
      <c r="G936" s="5"/>
      <c r="H936" s="5"/>
      <c r="I936" s="3"/>
      <c r="J936" s="3"/>
      <c r="K936" s="3"/>
      <c r="L936" s="3"/>
      <c r="M936" s="3"/>
      <c r="N936" s="3"/>
      <c r="O936" s="3"/>
      <c r="P936" s="3"/>
      <c r="Q936" s="3"/>
      <c r="R936" s="3"/>
      <c r="S936" s="3"/>
      <c r="T936" s="3"/>
      <c r="U936" s="3"/>
      <c r="V936" s="3"/>
      <c r="W936" s="3"/>
      <c r="X936" s="3"/>
      <c r="Y936" s="3"/>
    </row>
    <row r="937">
      <c r="A937" s="5"/>
      <c r="B937" s="5"/>
      <c r="C937" s="5"/>
      <c r="D937" s="5"/>
      <c r="E937" s="3"/>
      <c r="F937" s="5"/>
      <c r="G937" s="5"/>
      <c r="H937" s="5"/>
      <c r="I937" s="3"/>
      <c r="J937" s="3"/>
      <c r="K937" s="3"/>
      <c r="L937" s="3"/>
      <c r="M937" s="3"/>
      <c r="N937" s="3"/>
      <c r="O937" s="3"/>
      <c r="P937" s="3"/>
      <c r="Q937" s="3"/>
      <c r="R937" s="3"/>
      <c r="S937" s="3"/>
      <c r="T937" s="3"/>
      <c r="U937" s="3"/>
      <c r="V937" s="3"/>
      <c r="W937" s="3"/>
      <c r="X937" s="3"/>
      <c r="Y937" s="3"/>
    </row>
    <row r="938">
      <c r="A938" s="5"/>
      <c r="B938" s="5"/>
      <c r="C938" s="5"/>
      <c r="D938" s="5"/>
      <c r="E938" s="3"/>
      <c r="F938" s="5"/>
      <c r="G938" s="5"/>
      <c r="H938" s="5"/>
      <c r="I938" s="3"/>
      <c r="J938" s="3"/>
      <c r="K938" s="3"/>
      <c r="L938" s="3"/>
      <c r="M938" s="3"/>
      <c r="N938" s="3"/>
      <c r="O938" s="3"/>
      <c r="P938" s="3"/>
      <c r="Q938" s="3"/>
      <c r="R938" s="3"/>
      <c r="S938" s="3"/>
      <c r="T938" s="3"/>
      <c r="U938" s="3"/>
      <c r="V938" s="3"/>
      <c r="W938" s="3"/>
      <c r="X938" s="3"/>
      <c r="Y938" s="3"/>
    </row>
    <row r="939">
      <c r="A939" s="5"/>
      <c r="B939" s="5"/>
      <c r="C939" s="5"/>
      <c r="D939" s="5"/>
      <c r="E939" s="3"/>
      <c r="F939" s="5"/>
      <c r="G939" s="5"/>
      <c r="H939" s="5"/>
      <c r="I939" s="3"/>
      <c r="J939" s="3"/>
      <c r="K939" s="3"/>
      <c r="L939" s="3"/>
      <c r="M939" s="3"/>
      <c r="N939" s="3"/>
      <c r="O939" s="3"/>
      <c r="P939" s="3"/>
      <c r="Q939" s="3"/>
      <c r="R939" s="3"/>
      <c r="S939" s="3"/>
      <c r="T939" s="3"/>
      <c r="U939" s="3"/>
      <c r="V939" s="3"/>
      <c r="W939" s="3"/>
      <c r="X939" s="3"/>
      <c r="Y939" s="3"/>
    </row>
    <row r="940">
      <c r="A940" s="5"/>
      <c r="B940" s="5"/>
      <c r="C940" s="5"/>
      <c r="D940" s="5"/>
      <c r="E940" s="3"/>
      <c r="F940" s="5"/>
      <c r="G940" s="5"/>
      <c r="H940" s="5"/>
      <c r="I940" s="3"/>
      <c r="J940" s="3"/>
      <c r="K940" s="3"/>
      <c r="L940" s="3"/>
      <c r="M940" s="3"/>
      <c r="N940" s="3"/>
      <c r="O940" s="3"/>
      <c r="P940" s="3"/>
      <c r="Q940" s="3"/>
      <c r="R940" s="3"/>
      <c r="S940" s="3"/>
      <c r="T940" s="3"/>
      <c r="U940" s="3"/>
      <c r="V940" s="3"/>
      <c r="W940" s="3"/>
      <c r="X940" s="3"/>
      <c r="Y940" s="3"/>
    </row>
    <row r="941">
      <c r="A941" s="5"/>
      <c r="B941" s="5"/>
      <c r="C941" s="5"/>
      <c r="D941" s="5"/>
      <c r="E941" s="3"/>
      <c r="F941" s="5"/>
      <c r="G941" s="5"/>
      <c r="H941" s="5"/>
      <c r="I941" s="3"/>
      <c r="J941" s="3"/>
      <c r="K941" s="3"/>
      <c r="L941" s="3"/>
      <c r="M941" s="3"/>
      <c r="N941" s="3"/>
      <c r="O941" s="3"/>
      <c r="P941" s="3"/>
      <c r="Q941" s="3"/>
      <c r="R941" s="3"/>
      <c r="S941" s="3"/>
      <c r="T941" s="3"/>
      <c r="U941" s="3"/>
      <c r="V941" s="3"/>
      <c r="W941" s="3"/>
      <c r="X941" s="3"/>
      <c r="Y941" s="3"/>
    </row>
    <row r="942">
      <c r="A942" s="5"/>
      <c r="B942" s="5"/>
      <c r="C942" s="5"/>
      <c r="D942" s="5"/>
      <c r="E942" s="3"/>
      <c r="F942" s="5"/>
      <c r="G942" s="5"/>
      <c r="H942" s="5"/>
      <c r="I942" s="3"/>
      <c r="J942" s="3"/>
      <c r="K942" s="3"/>
      <c r="L942" s="3"/>
      <c r="M942" s="3"/>
      <c r="N942" s="3"/>
      <c r="O942" s="3"/>
      <c r="P942" s="3"/>
      <c r="Q942" s="3"/>
      <c r="R942" s="3"/>
      <c r="S942" s="3"/>
      <c r="T942" s="3"/>
      <c r="U942" s="3"/>
      <c r="V942" s="3"/>
      <c r="W942" s="3"/>
      <c r="X942" s="3"/>
      <c r="Y942" s="3"/>
    </row>
    <row r="943">
      <c r="A943" s="5"/>
      <c r="B943" s="5"/>
      <c r="C943" s="5"/>
      <c r="D943" s="5"/>
      <c r="E943" s="3"/>
      <c r="F943" s="5"/>
      <c r="G943" s="5"/>
      <c r="H943" s="5"/>
      <c r="I943" s="3"/>
      <c r="J943" s="3"/>
      <c r="K943" s="3"/>
      <c r="L943" s="3"/>
      <c r="M943" s="3"/>
      <c r="N943" s="3"/>
      <c r="O943" s="3"/>
      <c r="P943" s="3"/>
      <c r="Q943" s="3"/>
      <c r="R943" s="3"/>
      <c r="S943" s="3"/>
      <c r="T943" s="3"/>
      <c r="U943" s="3"/>
      <c r="V943" s="3"/>
      <c r="W943" s="3"/>
      <c r="X943" s="3"/>
      <c r="Y943" s="3"/>
    </row>
    <row r="944">
      <c r="A944" s="5"/>
      <c r="B944" s="5"/>
      <c r="C944" s="5"/>
      <c r="D944" s="5"/>
      <c r="E944" s="3"/>
      <c r="F944" s="5"/>
      <c r="G944" s="5"/>
      <c r="H944" s="5"/>
      <c r="I944" s="3"/>
      <c r="J944" s="3"/>
      <c r="K944" s="3"/>
      <c r="L944" s="3"/>
      <c r="M944" s="3"/>
      <c r="N944" s="3"/>
      <c r="O944" s="3"/>
      <c r="P944" s="3"/>
      <c r="Q944" s="3"/>
      <c r="R944" s="3"/>
      <c r="S944" s="3"/>
      <c r="T944" s="3"/>
      <c r="U944" s="3"/>
      <c r="V944" s="3"/>
      <c r="W944" s="3"/>
      <c r="X944" s="3"/>
      <c r="Y944" s="3"/>
    </row>
    <row r="945">
      <c r="A945" s="5"/>
      <c r="B945" s="5"/>
      <c r="C945" s="5"/>
      <c r="D945" s="5"/>
      <c r="E945" s="3"/>
      <c r="F945" s="5"/>
      <c r="G945" s="5"/>
      <c r="H945" s="5"/>
      <c r="I945" s="3"/>
      <c r="J945" s="3"/>
      <c r="K945" s="3"/>
      <c r="L945" s="3"/>
      <c r="M945" s="3"/>
      <c r="N945" s="3"/>
      <c r="O945" s="3"/>
      <c r="P945" s="3"/>
      <c r="Q945" s="3"/>
      <c r="R945" s="3"/>
      <c r="S945" s="3"/>
      <c r="T945" s="3"/>
      <c r="U945" s="3"/>
      <c r="V945" s="3"/>
      <c r="W945" s="3"/>
      <c r="X945" s="3"/>
      <c r="Y945" s="3"/>
    </row>
    <row r="946">
      <c r="A946" s="5"/>
      <c r="B946" s="5"/>
      <c r="C946" s="5"/>
      <c r="D946" s="5"/>
      <c r="E946" s="3"/>
      <c r="F946" s="5"/>
      <c r="G946" s="5"/>
      <c r="H946" s="5"/>
      <c r="I946" s="3"/>
      <c r="J946" s="3"/>
      <c r="K946" s="3"/>
      <c r="L946" s="3"/>
      <c r="M946" s="3"/>
      <c r="N946" s="3"/>
      <c r="O946" s="3"/>
      <c r="P946" s="3"/>
      <c r="Q946" s="3"/>
      <c r="R946" s="3"/>
      <c r="S946" s="3"/>
      <c r="T946" s="3"/>
      <c r="U946" s="3"/>
      <c r="V946" s="3"/>
      <c r="W946" s="3"/>
      <c r="X946" s="3"/>
      <c r="Y946" s="3"/>
    </row>
    <row r="947">
      <c r="A947" s="5"/>
      <c r="B947" s="5"/>
      <c r="C947" s="5"/>
      <c r="D947" s="5"/>
      <c r="E947" s="3"/>
      <c r="F947" s="5"/>
      <c r="G947" s="5"/>
      <c r="H947" s="5"/>
      <c r="I947" s="3"/>
      <c r="J947" s="3"/>
      <c r="K947" s="3"/>
      <c r="L947" s="3"/>
      <c r="M947" s="3"/>
      <c r="N947" s="3"/>
      <c r="O947" s="3"/>
      <c r="P947" s="3"/>
      <c r="Q947" s="3"/>
      <c r="R947" s="3"/>
      <c r="S947" s="3"/>
      <c r="T947" s="3"/>
      <c r="U947" s="3"/>
      <c r="V947" s="3"/>
      <c r="W947" s="3"/>
      <c r="X947" s="3"/>
      <c r="Y947" s="3"/>
    </row>
    <row r="948">
      <c r="A948" s="5"/>
      <c r="B948" s="5"/>
      <c r="C948" s="5"/>
      <c r="D948" s="5"/>
      <c r="E948" s="3"/>
      <c r="F948" s="5"/>
      <c r="G948" s="5"/>
      <c r="H948" s="5"/>
      <c r="I948" s="3"/>
      <c r="J948" s="3"/>
      <c r="K948" s="3"/>
      <c r="L948" s="3"/>
      <c r="M948" s="3"/>
      <c r="N948" s="3"/>
      <c r="O948" s="3"/>
      <c r="P948" s="3"/>
      <c r="Q948" s="3"/>
      <c r="R948" s="3"/>
      <c r="S948" s="3"/>
      <c r="T948" s="3"/>
      <c r="U948" s="3"/>
      <c r="V948" s="3"/>
      <c r="W948" s="3"/>
      <c r="X948" s="3"/>
      <c r="Y948" s="3"/>
    </row>
    <row r="949">
      <c r="A949" s="5"/>
      <c r="B949" s="5"/>
      <c r="C949" s="5"/>
      <c r="D949" s="5"/>
      <c r="E949" s="3"/>
      <c r="F949" s="5"/>
      <c r="G949" s="5"/>
      <c r="H949" s="5"/>
      <c r="I949" s="3"/>
      <c r="J949" s="3"/>
      <c r="K949" s="3"/>
      <c r="L949" s="3"/>
      <c r="M949" s="3"/>
      <c r="N949" s="3"/>
      <c r="O949" s="3"/>
      <c r="P949" s="3"/>
      <c r="Q949" s="3"/>
      <c r="R949" s="3"/>
      <c r="S949" s="3"/>
      <c r="T949" s="3"/>
      <c r="U949" s="3"/>
      <c r="V949" s="3"/>
      <c r="W949" s="3"/>
      <c r="X949" s="3"/>
      <c r="Y949" s="3"/>
    </row>
    <row r="950">
      <c r="A950" s="5"/>
      <c r="B950" s="5"/>
      <c r="C950" s="5"/>
      <c r="D950" s="5"/>
      <c r="E950" s="3"/>
      <c r="F950" s="5"/>
      <c r="G950" s="5"/>
      <c r="H950" s="5"/>
      <c r="I950" s="3"/>
      <c r="J950" s="3"/>
      <c r="K950" s="3"/>
      <c r="L950" s="3"/>
      <c r="M950" s="3"/>
      <c r="N950" s="3"/>
      <c r="O950" s="3"/>
      <c r="P950" s="3"/>
      <c r="Q950" s="3"/>
      <c r="R950" s="3"/>
      <c r="S950" s="3"/>
      <c r="T950" s="3"/>
      <c r="U950" s="3"/>
      <c r="V950" s="3"/>
      <c r="W950" s="3"/>
      <c r="X950" s="3"/>
      <c r="Y950" s="3"/>
    </row>
    <row r="951">
      <c r="A951" s="5"/>
      <c r="B951" s="5"/>
      <c r="C951" s="5"/>
      <c r="D951" s="5"/>
      <c r="E951" s="3"/>
      <c r="F951" s="5"/>
      <c r="G951" s="5"/>
      <c r="H951" s="5"/>
      <c r="I951" s="3"/>
      <c r="J951" s="3"/>
      <c r="K951" s="3"/>
      <c r="L951" s="3"/>
      <c r="M951" s="3"/>
      <c r="N951" s="3"/>
      <c r="O951" s="3"/>
      <c r="P951" s="3"/>
      <c r="Q951" s="3"/>
      <c r="R951" s="3"/>
      <c r="S951" s="3"/>
      <c r="T951" s="3"/>
      <c r="U951" s="3"/>
      <c r="V951" s="3"/>
      <c r="W951" s="3"/>
      <c r="X951" s="3"/>
      <c r="Y951" s="3"/>
    </row>
    <row r="952">
      <c r="A952" s="5"/>
      <c r="B952" s="5"/>
      <c r="C952" s="5"/>
      <c r="D952" s="5"/>
      <c r="E952" s="3"/>
      <c r="F952" s="5"/>
      <c r="G952" s="5"/>
      <c r="H952" s="5"/>
      <c r="I952" s="3"/>
      <c r="J952" s="3"/>
      <c r="K952" s="3"/>
      <c r="L952" s="3"/>
      <c r="M952" s="3"/>
      <c r="N952" s="3"/>
      <c r="O952" s="3"/>
      <c r="P952" s="3"/>
      <c r="Q952" s="3"/>
      <c r="R952" s="3"/>
      <c r="S952" s="3"/>
      <c r="T952" s="3"/>
      <c r="U952" s="3"/>
      <c r="V952" s="3"/>
      <c r="W952" s="3"/>
      <c r="X952" s="3"/>
      <c r="Y952" s="3"/>
    </row>
    <row r="953">
      <c r="A953" s="5"/>
      <c r="B953" s="5"/>
      <c r="C953" s="5"/>
      <c r="D953" s="5"/>
      <c r="E953" s="3"/>
      <c r="F953" s="5"/>
      <c r="G953" s="5"/>
      <c r="H953" s="5"/>
      <c r="I953" s="3"/>
      <c r="J953" s="3"/>
      <c r="K953" s="3"/>
      <c r="L953" s="3"/>
      <c r="M953" s="3"/>
      <c r="N953" s="3"/>
      <c r="O953" s="3"/>
      <c r="P953" s="3"/>
      <c r="Q953" s="3"/>
      <c r="R953" s="3"/>
      <c r="S953" s="3"/>
      <c r="T953" s="3"/>
      <c r="U953" s="3"/>
      <c r="V953" s="3"/>
      <c r="W953" s="3"/>
      <c r="X953" s="3"/>
      <c r="Y953" s="3"/>
    </row>
    <row r="954">
      <c r="A954" s="5"/>
      <c r="B954" s="5"/>
      <c r="C954" s="5"/>
      <c r="D954" s="5"/>
      <c r="E954" s="3"/>
      <c r="F954" s="5"/>
      <c r="G954" s="5"/>
      <c r="H954" s="5"/>
      <c r="I954" s="3"/>
      <c r="J954" s="3"/>
      <c r="K954" s="3"/>
      <c r="L954" s="3"/>
      <c r="M954" s="3"/>
      <c r="N954" s="3"/>
      <c r="O954" s="3"/>
      <c r="P954" s="3"/>
      <c r="Q954" s="3"/>
      <c r="R954" s="3"/>
      <c r="S954" s="3"/>
      <c r="T954" s="3"/>
      <c r="U954" s="3"/>
      <c r="V954" s="3"/>
      <c r="W954" s="3"/>
      <c r="X954" s="3"/>
      <c r="Y954" s="3"/>
    </row>
    <row r="955">
      <c r="A955" s="5"/>
      <c r="B955" s="5"/>
      <c r="C955" s="5"/>
      <c r="D955" s="5"/>
      <c r="E955" s="3"/>
      <c r="F955" s="5"/>
      <c r="G955" s="5"/>
      <c r="H955" s="5"/>
      <c r="I955" s="3"/>
      <c r="J955" s="3"/>
      <c r="K955" s="3"/>
      <c r="L955" s="3"/>
      <c r="M955" s="3"/>
      <c r="N955" s="3"/>
      <c r="O955" s="3"/>
      <c r="P955" s="3"/>
      <c r="Q955" s="3"/>
      <c r="R955" s="3"/>
      <c r="S955" s="3"/>
      <c r="T955" s="3"/>
      <c r="U955" s="3"/>
      <c r="V955" s="3"/>
      <c r="W955" s="3"/>
      <c r="X955" s="3"/>
      <c r="Y955" s="3"/>
    </row>
    <row r="956">
      <c r="A956" s="5"/>
      <c r="B956" s="5"/>
      <c r="C956" s="5"/>
      <c r="D956" s="5"/>
      <c r="E956" s="3"/>
      <c r="F956" s="5"/>
      <c r="G956" s="5"/>
      <c r="H956" s="5"/>
      <c r="I956" s="3"/>
      <c r="J956" s="3"/>
      <c r="K956" s="3"/>
      <c r="L956" s="3"/>
      <c r="M956" s="3"/>
      <c r="N956" s="3"/>
      <c r="O956" s="3"/>
      <c r="P956" s="3"/>
      <c r="Q956" s="3"/>
      <c r="R956" s="3"/>
      <c r="S956" s="3"/>
      <c r="T956" s="3"/>
      <c r="U956" s="3"/>
      <c r="V956" s="3"/>
      <c r="W956" s="3"/>
      <c r="X956" s="3"/>
      <c r="Y956" s="3"/>
    </row>
    <row r="957">
      <c r="A957" s="5"/>
      <c r="B957" s="5"/>
      <c r="C957" s="5"/>
      <c r="D957" s="5"/>
      <c r="E957" s="3"/>
      <c r="F957" s="5"/>
      <c r="G957" s="5"/>
      <c r="H957" s="5"/>
      <c r="I957" s="3"/>
      <c r="J957" s="3"/>
      <c r="K957" s="3"/>
      <c r="L957" s="3"/>
      <c r="M957" s="3"/>
      <c r="N957" s="3"/>
      <c r="O957" s="3"/>
      <c r="P957" s="3"/>
      <c r="Q957" s="3"/>
      <c r="R957" s="3"/>
      <c r="S957" s="3"/>
      <c r="T957" s="3"/>
      <c r="U957" s="3"/>
      <c r="V957" s="3"/>
      <c r="W957" s="3"/>
      <c r="X957" s="3"/>
      <c r="Y957" s="3"/>
    </row>
    <row r="958">
      <c r="A958" s="5"/>
      <c r="B958" s="5"/>
      <c r="C958" s="5"/>
      <c r="D958" s="5"/>
      <c r="E958" s="3"/>
      <c r="F958" s="5"/>
      <c r="G958" s="5"/>
      <c r="H958" s="5"/>
      <c r="I958" s="3"/>
      <c r="J958" s="3"/>
      <c r="K958" s="3"/>
      <c r="L958" s="3"/>
      <c r="M958" s="3"/>
      <c r="N958" s="3"/>
      <c r="O958" s="3"/>
      <c r="P958" s="3"/>
      <c r="Q958" s="3"/>
      <c r="R958" s="3"/>
      <c r="S958" s="3"/>
      <c r="T958" s="3"/>
      <c r="U958" s="3"/>
      <c r="V958" s="3"/>
      <c r="W958" s="3"/>
      <c r="X958" s="3"/>
      <c r="Y958" s="3"/>
    </row>
    <row r="959">
      <c r="A959" s="5"/>
      <c r="B959" s="5"/>
      <c r="C959" s="5"/>
      <c r="D959" s="5"/>
      <c r="E959" s="3"/>
      <c r="F959" s="5"/>
      <c r="G959" s="5"/>
      <c r="H959" s="5"/>
      <c r="I959" s="3"/>
      <c r="J959" s="3"/>
      <c r="K959" s="3"/>
      <c r="L959" s="3"/>
      <c r="M959" s="3"/>
      <c r="N959" s="3"/>
      <c r="O959" s="3"/>
      <c r="P959" s="3"/>
      <c r="Q959" s="3"/>
      <c r="R959" s="3"/>
      <c r="S959" s="3"/>
      <c r="T959" s="3"/>
      <c r="U959" s="3"/>
      <c r="V959" s="3"/>
      <c r="W959" s="3"/>
      <c r="X959" s="3"/>
      <c r="Y959" s="3"/>
    </row>
    <row r="960">
      <c r="A960" s="5"/>
      <c r="B960" s="5"/>
      <c r="C960" s="5"/>
      <c r="D960" s="5"/>
      <c r="E960" s="3"/>
      <c r="F960" s="5"/>
      <c r="G960" s="5"/>
      <c r="H960" s="5"/>
      <c r="I960" s="3"/>
      <c r="J960" s="3"/>
      <c r="K960" s="3"/>
      <c r="L960" s="3"/>
      <c r="M960" s="3"/>
      <c r="N960" s="3"/>
      <c r="O960" s="3"/>
      <c r="P960" s="3"/>
      <c r="Q960" s="3"/>
      <c r="R960" s="3"/>
      <c r="S960" s="3"/>
      <c r="T960" s="3"/>
      <c r="U960" s="3"/>
      <c r="V960" s="3"/>
      <c r="W960" s="3"/>
      <c r="X960" s="3"/>
      <c r="Y960" s="3"/>
    </row>
    <row r="961">
      <c r="A961" s="5"/>
      <c r="B961" s="5"/>
      <c r="C961" s="5"/>
      <c r="D961" s="5"/>
      <c r="E961" s="3"/>
      <c r="F961" s="5"/>
      <c r="G961" s="5"/>
      <c r="H961" s="5"/>
      <c r="I961" s="3"/>
      <c r="J961" s="3"/>
      <c r="K961" s="3"/>
      <c r="L961" s="3"/>
      <c r="M961" s="3"/>
      <c r="N961" s="3"/>
      <c r="O961" s="3"/>
      <c r="P961" s="3"/>
      <c r="Q961" s="3"/>
      <c r="R961" s="3"/>
      <c r="S961" s="3"/>
      <c r="T961" s="3"/>
      <c r="U961" s="3"/>
      <c r="V961" s="3"/>
      <c r="W961" s="3"/>
      <c r="X961" s="3"/>
      <c r="Y961" s="3"/>
    </row>
    <row r="962">
      <c r="A962" s="5"/>
      <c r="B962" s="5"/>
      <c r="C962" s="5"/>
      <c r="D962" s="5"/>
      <c r="E962" s="3"/>
      <c r="F962" s="5"/>
      <c r="G962" s="5"/>
      <c r="H962" s="5"/>
      <c r="I962" s="3"/>
      <c r="J962" s="3"/>
      <c r="K962" s="3"/>
      <c r="L962" s="3"/>
      <c r="M962" s="3"/>
      <c r="N962" s="3"/>
      <c r="O962" s="3"/>
      <c r="P962" s="3"/>
      <c r="Q962" s="3"/>
      <c r="R962" s="3"/>
      <c r="S962" s="3"/>
      <c r="T962" s="3"/>
      <c r="U962" s="3"/>
      <c r="V962" s="3"/>
      <c r="W962" s="3"/>
      <c r="X962" s="3"/>
      <c r="Y962" s="3"/>
    </row>
    <row r="963">
      <c r="A963" s="5"/>
      <c r="B963" s="5"/>
      <c r="C963" s="5"/>
      <c r="D963" s="5"/>
      <c r="E963" s="3"/>
      <c r="F963" s="5"/>
      <c r="G963" s="5"/>
      <c r="H963" s="5"/>
      <c r="I963" s="3"/>
      <c r="J963" s="3"/>
      <c r="K963" s="3"/>
      <c r="L963" s="3"/>
      <c r="M963" s="3"/>
      <c r="N963" s="3"/>
      <c r="O963" s="3"/>
      <c r="P963" s="3"/>
      <c r="Q963" s="3"/>
      <c r="R963" s="3"/>
      <c r="S963" s="3"/>
      <c r="T963" s="3"/>
      <c r="U963" s="3"/>
      <c r="V963" s="3"/>
      <c r="W963" s="3"/>
      <c r="X963" s="3"/>
      <c r="Y963" s="3"/>
    </row>
    <row r="964">
      <c r="A964" s="5"/>
      <c r="B964" s="5"/>
      <c r="C964" s="5"/>
      <c r="D964" s="5"/>
      <c r="E964" s="3"/>
      <c r="F964" s="5"/>
      <c r="G964" s="5"/>
      <c r="H964" s="5"/>
      <c r="I964" s="3"/>
      <c r="J964" s="3"/>
      <c r="K964" s="3"/>
      <c r="L964" s="3"/>
      <c r="M964" s="3"/>
      <c r="N964" s="3"/>
      <c r="O964" s="3"/>
      <c r="P964" s="3"/>
      <c r="Q964" s="3"/>
      <c r="R964" s="3"/>
      <c r="S964" s="3"/>
      <c r="T964" s="3"/>
      <c r="U964" s="3"/>
      <c r="V964" s="3"/>
      <c r="W964" s="3"/>
      <c r="X964" s="3"/>
      <c r="Y964" s="3"/>
    </row>
    <row r="965">
      <c r="A965" s="5"/>
      <c r="B965" s="5"/>
      <c r="C965" s="5"/>
      <c r="D965" s="5"/>
      <c r="E965" s="3"/>
      <c r="F965" s="5"/>
      <c r="G965" s="5"/>
      <c r="H965" s="5"/>
      <c r="I965" s="3"/>
      <c r="J965" s="3"/>
      <c r="K965" s="3"/>
      <c r="L965" s="3"/>
      <c r="M965" s="3"/>
      <c r="N965" s="3"/>
      <c r="O965" s="3"/>
      <c r="P965" s="3"/>
      <c r="Q965" s="3"/>
      <c r="R965" s="3"/>
      <c r="S965" s="3"/>
      <c r="T965" s="3"/>
      <c r="U965" s="3"/>
      <c r="V965" s="3"/>
      <c r="W965" s="3"/>
      <c r="X965" s="3"/>
      <c r="Y965" s="3"/>
    </row>
    <row r="966">
      <c r="A966" s="5"/>
      <c r="B966" s="5"/>
      <c r="C966" s="5"/>
      <c r="D966" s="5"/>
      <c r="E966" s="3"/>
      <c r="F966" s="5"/>
      <c r="G966" s="5"/>
      <c r="H966" s="5"/>
      <c r="I966" s="3"/>
      <c r="J966" s="3"/>
      <c r="K966" s="3"/>
      <c r="L966" s="3"/>
      <c r="M966" s="3"/>
      <c r="N966" s="3"/>
      <c r="O966" s="3"/>
      <c r="P966" s="3"/>
      <c r="Q966" s="3"/>
      <c r="R966" s="3"/>
      <c r="S966" s="3"/>
      <c r="T966" s="3"/>
      <c r="U966" s="3"/>
      <c r="V966" s="3"/>
      <c r="W966" s="3"/>
      <c r="X966" s="3"/>
      <c r="Y966" s="3"/>
    </row>
    <row r="967">
      <c r="A967" s="5"/>
      <c r="B967" s="5"/>
      <c r="C967" s="5"/>
      <c r="D967" s="5"/>
      <c r="E967" s="3"/>
      <c r="F967" s="5"/>
      <c r="G967" s="5"/>
      <c r="H967" s="5"/>
      <c r="I967" s="3"/>
      <c r="J967" s="3"/>
      <c r="K967" s="3"/>
      <c r="L967" s="3"/>
      <c r="M967" s="3"/>
      <c r="N967" s="3"/>
      <c r="O967" s="3"/>
      <c r="P967" s="3"/>
      <c r="Q967" s="3"/>
      <c r="R967" s="3"/>
      <c r="S967" s="3"/>
      <c r="T967" s="3"/>
      <c r="U967" s="3"/>
      <c r="V967" s="3"/>
      <c r="W967" s="3"/>
      <c r="X967" s="3"/>
      <c r="Y967" s="3"/>
    </row>
    <row r="968">
      <c r="A968" s="5"/>
      <c r="B968" s="5"/>
      <c r="C968" s="5"/>
      <c r="D968" s="5"/>
      <c r="E968" s="3"/>
      <c r="F968" s="5"/>
      <c r="G968" s="5"/>
      <c r="H968" s="5"/>
      <c r="I968" s="3"/>
      <c r="J968" s="3"/>
      <c r="K968" s="3"/>
      <c r="L968" s="3"/>
      <c r="M968" s="3"/>
      <c r="N968" s="3"/>
      <c r="O968" s="3"/>
      <c r="P968" s="3"/>
      <c r="Q968" s="3"/>
      <c r="R968" s="3"/>
      <c r="S968" s="3"/>
      <c r="T968" s="3"/>
      <c r="U968" s="3"/>
      <c r="V968" s="3"/>
      <c r="W968" s="3"/>
      <c r="X968" s="3"/>
      <c r="Y968" s="3"/>
    </row>
    <row r="969">
      <c r="A969" s="5"/>
      <c r="B969" s="5"/>
      <c r="C969" s="5"/>
      <c r="D969" s="5"/>
      <c r="E969" s="3"/>
      <c r="F969" s="5"/>
      <c r="G969" s="5"/>
      <c r="H969" s="5"/>
      <c r="I969" s="3"/>
      <c r="J969" s="3"/>
      <c r="K969" s="3"/>
      <c r="L969" s="3"/>
      <c r="M969" s="3"/>
      <c r="N969" s="3"/>
      <c r="O969" s="3"/>
      <c r="P969" s="3"/>
      <c r="Q969" s="3"/>
      <c r="R969" s="3"/>
      <c r="S969" s="3"/>
      <c r="T969" s="3"/>
      <c r="U969" s="3"/>
      <c r="V969" s="3"/>
      <c r="W969" s="3"/>
      <c r="X969" s="3"/>
      <c r="Y969" s="3"/>
    </row>
    <row r="970">
      <c r="A970" s="5"/>
      <c r="B970" s="5"/>
      <c r="C970" s="5"/>
      <c r="D970" s="5"/>
      <c r="E970" s="3"/>
      <c r="F970" s="5"/>
      <c r="G970" s="5"/>
      <c r="H970" s="5"/>
      <c r="I970" s="3"/>
      <c r="J970" s="3"/>
      <c r="K970" s="3"/>
      <c r="L970" s="3"/>
      <c r="M970" s="3"/>
      <c r="N970" s="3"/>
      <c r="O970" s="3"/>
      <c r="P970" s="3"/>
      <c r="Q970" s="3"/>
      <c r="R970" s="3"/>
      <c r="S970" s="3"/>
      <c r="T970" s="3"/>
      <c r="U970" s="3"/>
      <c r="V970" s="3"/>
      <c r="W970" s="3"/>
      <c r="X970" s="3"/>
      <c r="Y970" s="3"/>
    </row>
    <row r="971">
      <c r="A971" s="5"/>
      <c r="B971" s="5"/>
      <c r="C971" s="5"/>
      <c r="D971" s="5"/>
      <c r="E971" s="3"/>
      <c r="F971" s="5"/>
      <c r="G971" s="5"/>
      <c r="H971" s="5"/>
      <c r="I971" s="3"/>
      <c r="J971" s="3"/>
      <c r="K971" s="3"/>
      <c r="L971" s="3"/>
      <c r="M971" s="3"/>
      <c r="N971" s="3"/>
      <c r="O971" s="3"/>
      <c r="P971" s="3"/>
      <c r="Q971" s="3"/>
      <c r="R971" s="3"/>
      <c r="S971" s="3"/>
      <c r="T971" s="3"/>
      <c r="U971" s="3"/>
      <c r="V971" s="3"/>
      <c r="W971" s="3"/>
      <c r="X971" s="3"/>
      <c r="Y971" s="3"/>
    </row>
    <row r="972">
      <c r="A972" s="5"/>
      <c r="B972" s="5"/>
      <c r="C972" s="5"/>
      <c r="D972" s="5"/>
      <c r="E972" s="3"/>
      <c r="F972" s="5"/>
      <c r="G972" s="5"/>
      <c r="H972" s="5"/>
      <c r="I972" s="3"/>
      <c r="J972" s="3"/>
      <c r="K972" s="3"/>
      <c r="L972" s="3"/>
      <c r="M972" s="3"/>
      <c r="N972" s="3"/>
      <c r="O972" s="3"/>
      <c r="P972" s="3"/>
      <c r="Q972" s="3"/>
      <c r="R972" s="3"/>
      <c r="S972" s="3"/>
      <c r="T972" s="3"/>
      <c r="U972" s="3"/>
      <c r="V972" s="3"/>
      <c r="W972" s="3"/>
      <c r="X972" s="3"/>
      <c r="Y972" s="3"/>
    </row>
    <row r="973">
      <c r="A973" s="5"/>
      <c r="B973" s="5"/>
      <c r="C973" s="5"/>
      <c r="D973" s="5"/>
      <c r="E973" s="3"/>
      <c r="F973" s="5"/>
      <c r="G973" s="5"/>
      <c r="H973" s="5"/>
      <c r="I973" s="3"/>
      <c r="J973" s="3"/>
      <c r="K973" s="3"/>
      <c r="L973" s="3"/>
      <c r="M973" s="3"/>
      <c r="N973" s="3"/>
      <c r="O973" s="3"/>
      <c r="P973" s="3"/>
      <c r="Q973" s="3"/>
      <c r="R973" s="3"/>
      <c r="S973" s="3"/>
      <c r="T973" s="3"/>
      <c r="U973" s="3"/>
      <c r="V973" s="3"/>
      <c r="W973" s="3"/>
      <c r="X973" s="3"/>
      <c r="Y973" s="3"/>
    </row>
    <row r="974">
      <c r="A974" s="5"/>
      <c r="B974" s="5"/>
      <c r="C974" s="5"/>
      <c r="D974" s="5"/>
      <c r="E974" s="3"/>
      <c r="F974" s="5"/>
      <c r="G974" s="5"/>
      <c r="H974" s="5"/>
      <c r="I974" s="3"/>
      <c r="J974" s="3"/>
      <c r="K974" s="3"/>
      <c r="L974" s="3"/>
      <c r="M974" s="3"/>
      <c r="N974" s="3"/>
      <c r="O974" s="3"/>
      <c r="P974" s="3"/>
      <c r="Q974" s="3"/>
      <c r="R974" s="3"/>
      <c r="S974" s="3"/>
      <c r="T974" s="3"/>
      <c r="U974" s="3"/>
      <c r="V974" s="3"/>
      <c r="W974" s="3"/>
      <c r="X974" s="3"/>
      <c r="Y974" s="3"/>
    </row>
    <row r="975">
      <c r="A975" s="5"/>
      <c r="B975" s="5"/>
      <c r="C975" s="5"/>
      <c r="D975" s="5"/>
      <c r="E975" s="3"/>
      <c r="F975" s="5"/>
      <c r="G975" s="5"/>
      <c r="H975" s="5"/>
      <c r="I975" s="3"/>
      <c r="J975" s="3"/>
      <c r="K975" s="3"/>
      <c r="L975" s="3"/>
      <c r="M975" s="3"/>
      <c r="N975" s="3"/>
      <c r="O975" s="3"/>
      <c r="P975" s="3"/>
      <c r="Q975" s="3"/>
      <c r="R975" s="3"/>
      <c r="S975" s="3"/>
      <c r="T975" s="3"/>
      <c r="U975" s="3"/>
      <c r="V975" s="3"/>
      <c r="W975" s="3"/>
      <c r="X975" s="3"/>
      <c r="Y975" s="3"/>
    </row>
    <row r="976">
      <c r="A976" s="5"/>
      <c r="B976" s="5"/>
      <c r="C976" s="5"/>
      <c r="D976" s="5"/>
      <c r="E976" s="3"/>
      <c r="F976" s="5"/>
      <c r="G976" s="5"/>
      <c r="H976" s="5"/>
      <c r="I976" s="3"/>
      <c r="J976" s="3"/>
      <c r="K976" s="3"/>
      <c r="L976" s="3"/>
      <c r="M976" s="3"/>
      <c r="N976" s="3"/>
      <c r="O976" s="3"/>
      <c r="P976" s="3"/>
      <c r="Q976" s="3"/>
      <c r="R976" s="3"/>
      <c r="S976" s="3"/>
      <c r="T976" s="3"/>
      <c r="U976" s="3"/>
      <c r="V976" s="3"/>
      <c r="W976" s="3"/>
      <c r="X976" s="3"/>
      <c r="Y976" s="3"/>
    </row>
    <row r="977">
      <c r="A977" s="5"/>
      <c r="B977" s="5"/>
      <c r="C977" s="5"/>
      <c r="D977" s="5"/>
      <c r="E977" s="3"/>
      <c r="F977" s="5"/>
      <c r="G977" s="5"/>
      <c r="H977" s="5"/>
      <c r="I977" s="3"/>
      <c r="J977" s="3"/>
      <c r="K977" s="3"/>
      <c r="L977" s="3"/>
      <c r="M977" s="3"/>
      <c r="N977" s="3"/>
      <c r="O977" s="3"/>
      <c r="P977" s="3"/>
      <c r="Q977" s="3"/>
      <c r="R977" s="3"/>
      <c r="S977" s="3"/>
      <c r="T977" s="3"/>
      <c r="U977" s="3"/>
      <c r="V977" s="3"/>
      <c r="W977" s="3"/>
      <c r="X977" s="3"/>
      <c r="Y977" s="3"/>
    </row>
    <row r="978">
      <c r="A978" s="5"/>
      <c r="B978" s="5"/>
      <c r="C978" s="5"/>
      <c r="D978" s="5"/>
      <c r="E978" s="3"/>
      <c r="F978" s="5"/>
      <c r="G978" s="5"/>
      <c r="H978" s="5"/>
      <c r="I978" s="3"/>
      <c r="J978" s="3"/>
      <c r="K978" s="3"/>
      <c r="L978" s="3"/>
      <c r="M978" s="3"/>
      <c r="N978" s="3"/>
      <c r="O978" s="3"/>
      <c r="P978" s="3"/>
      <c r="Q978" s="3"/>
      <c r="R978" s="3"/>
      <c r="S978" s="3"/>
      <c r="T978" s="3"/>
      <c r="U978" s="3"/>
      <c r="V978" s="3"/>
      <c r="W978" s="3"/>
      <c r="X978" s="3"/>
      <c r="Y978" s="3"/>
    </row>
    <row r="979">
      <c r="A979" s="5"/>
      <c r="B979" s="5"/>
      <c r="C979" s="5"/>
      <c r="D979" s="5"/>
      <c r="E979" s="3"/>
      <c r="F979" s="5"/>
      <c r="G979" s="5"/>
      <c r="H979" s="5"/>
      <c r="I979" s="3"/>
      <c r="J979" s="3"/>
      <c r="K979" s="3"/>
      <c r="L979" s="3"/>
      <c r="M979" s="3"/>
      <c r="N979" s="3"/>
      <c r="O979" s="3"/>
      <c r="P979" s="3"/>
      <c r="Q979" s="3"/>
      <c r="R979" s="3"/>
      <c r="S979" s="3"/>
      <c r="T979" s="3"/>
      <c r="U979" s="3"/>
      <c r="V979" s="3"/>
      <c r="W979" s="3"/>
      <c r="X979" s="3"/>
      <c r="Y979" s="3"/>
    </row>
    <row r="980">
      <c r="A980" s="5"/>
      <c r="B980" s="5"/>
      <c r="C980" s="5"/>
      <c r="D980" s="5"/>
      <c r="E980" s="3"/>
      <c r="F980" s="5"/>
      <c r="G980" s="5"/>
      <c r="H980" s="5"/>
      <c r="I980" s="3"/>
      <c r="J980" s="3"/>
      <c r="K980" s="3"/>
      <c r="L980" s="3"/>
      <c r="M980" s="3"/>
      <c r="N980" s="3"/>
      <c r="O980" s="3"/>
      <c r="P980" s="3"/>
      <c r="Q980" s="3"/>
      <c r="R980" s="3"/>
      <c r="S980" s="3"/>
      <c r="T980" s="3"/>
      <c r="U980" s="3"/>
      <c r="V980" s="3"/>
      <c r="W980" s="3"/>
      <c r="X980" s="3"/>
      <c r="Y980" s="3"/>
    </row>
    <row r="981">
      <c r="A981" s="5"/>
      <c r="B981" s="5"/>
      <c r="C981" s="5"/>
      <c r="D981" s="5"/>
      <c r="E981" s="3"/>
      <c r="F981" s="5"/>
      <c r="G981" s="5"/>
      <c r="H981" s="5"/>
      <c r="I981" s="3"/>
      <c r="J981" s="3"/>
      <c r="K981" s="3"/>
      <c r="L981" s="3"/>
      <c r="M981" s="3"/>
      <c r="N981" s="3"/>
      <c r="O981" s="3"/>
      <c r="P981" s="3"/>
      <c r="Q981" s="3"/>
      <c r="R981" s="3"/>
      <c r="S981" s="3"/>
      <c r="T981" s="3"/>
      <c r="U981" s="3"/>
      <c r="V981" s="3"/>
      <c r="W981" s="3"/>
      <c r="X981" s="3"/>
      <c r="Y981" s="3"/>
    </row>
    <row r="982">
      <c r="A982" s="5"/>
      <c r="B982" s="5"/>
      <c r="C982" s="5"/>
      <c r="D982" s="5"/>
      <c r="E982" s="3"/>
      <c r="F982" s="5"/>
      <c r="G982" s="5"/>
      <c r="H982" s="5"/>
      <c r="I982" s="3"/>
      <c r="J982" s="3"/>
      <c r="K982" s="3"/>
      <c r="L982" s="3"/>
      <c r="M982" s="3"/>
      <c r="N982" s="3"/>
      <c r="O982" s="3"/>
      <c r="P982" s="3"/>
      <c r="Q982" s="3"/>
      <c r="R982" s="3"/>
      <c r="S982" s="3"/>
      <c r="T982" s="3"/>
      <c r="U982" s="3"/>
      <c r="V982" s="3"/>
      <c r="W982" s="3"/>
      <c r="X982" s="3"/>
      <c r="Y982" s="3"/>
    </row>
    <row r="983">
      <c r="A983" s="5"/>
      <c r="B983" s="5"/>
      <c r="C983" s="5"/>
      <c r="D983" s="5"/>
      <c r="E983" s="3"/>
      <c r="F983" s="5"/>
      <c r="G983" s="5"/>
      <c r="H983" s="5"/>
      <c r="I983" s="3"/>
      <c r="J983" s="3"/>
      <c r="K983" s="3"/>
      <c r="L983" s="3"/>
      <c r="M983" s="3"/>
      <c r="N983" s="3"/>
      <c r="O983" s="3"/>
      <c r="P983" s="3"/>
      <c r="Q983" s="3"/>
      <c r="R983" s="3"/>
      <c r="S983" s="3"/>
      <c r="T983" s="3"/>
      <c r="U983" s="3"/>
      <c r="V983" s="3"/>
      <c r="W983" s="3"/>
      <c r="X983" s="3"/>
      <c r="Y983" s="3"/>
    </row>
    <row r="984">
      <c r="A984" s="5"/>
      <c r="B984" s="5"/>
      <c r="C984" s="5"/>
      <c r="D984" s="5"/>
      <c r="E984" s="3"/>
      <c r="F984" s="5"/>
      <c r="G984" s="5"/>
      <c r="H984" s="5"/>
      <c r="I984" s="3"/>
      <c r="J984" s="3"/>
      <c r="K984" s="3"/>
      <c r="L984" s="3"/>
      <c r="M984" s="3"/>
      <c r="N984" s="3"/>
      <c r="O984" s="3"/>
      <c r="P984" s="3"/>
      <c r="Q984" s="3"/>
      <c r="R984" s="3"/>
      <c r="S984" s="3"/>
      <c r="T984" s="3"/>
      <c r="U984" s="3"/>
      <c r="V984" s="3"/>
      <c r="W984" s="3"/>
      <c r="X984" s="3"/>
      <c r="Y984" s="3"/>
    </row>
    <row r="985">
      <c r="A985" s="5"/>
      <c r="B985" s="5"/>
      <c r="C985" s="5"/>
      <c r="D985" s="5"/>
      <c r="E985" s="3"/>
      <c r="F985" s="5"/>
      <c r="G985" s="5"/>
      <c r="H985" s="5"/>
      <c r="I985" s="3"/>
      <c r="J985" s="3"/>
      <c r="K985" s="3"/>
      <c r="L985" s="3"/>
      <c r="M985" s="3"/>
      <c r="N985" s="3"/>
      <c r="O985" s="3"/>
      <c r="P985" s="3"/>
      <c r="Q985" s="3"/>
      <c r="R985" s="3"/>
      <c r="S985" s="3"/>
      <c r="T985" s="3"/>
      <c r="U985" s="3"/>
      <c r="V985" s="3"/>
      <c r="W985" s="3"/>
      <c r="X985" s="3"/>
      <c r="Y985" s="3"/>
    </row>
    <row r="986">
      <c r="A986" s="5"/>
      <c r="B986" s="5"/>
      <c r="C986" s="5"/>
      <c r="D986" s="5"/>
      <c r="E986" s="3"/>
      <c r="F986" s="5"/>
      <c r="G986" s="5"/>
      <c r="H986" s="5"/>
      <c r="I986" s="3"/>
      <c r="J986" s="3"/>
      <c r="K986" s="3"/>
      <c r="L986" s="3"/>
      <c r="M986" s="3"/>
      <c r="N986" s="3"/>
      <c r="O986" s="3"/>
      <c r="P986" s="3"/>
      <c r="Q986" s="3"/>
      <c r="R986" s="3"/>
      <c r="S986" s="3"/>
      <c r="T986" s="3"/>
      <c r="U986" s="3"/>
      <c r="V986" s="3"/>
      <c r="W986" s="3"/>
      <c r="X986" s="3"/>
      <c r="Y986" s="3"/>
    </row>
    <row r="987">
      <c r="A987" s="5"/>
      <c r="B987" s="5"/>
      <c r="C987" s="5"/>
      <c r="D987" s="5"/>
      <c r="E987" s="3"/>
      <c r="F987" s="5"/>
      <c r="G987" s="5"/>
      <c r="H987" s="5"/>
      <c r="I987" s="3"/>
      <c r="J987" s="3"/>
      <c r="K987" s="3"/>
      <c r="L987" s="3"/>
      <c r="M987" s="3"/>
      <c r="N987" s="3"/>
      <c r="O987" s="3"/>
      <c r="P987" s="3"/>
      <c r="Q987" s="3"/>
      <c r="R987" s="3"/>
      <c r="S987" s="3"/>
      <c r="T987" s="3"/>
      <c r="U987" s="3"/>
      <c r="V987" s="3"/>
      <c r="W987" s="3"/>
      <c r="X987" s="3"/>
      <c r="Y987" s="3"/>
    </row>
    <row r="988">
      <c r="A988" s="5"/>
      <c r="B988" s="5"/>
      <c r="C988" s="5"/>
      <c r="D988" s="5"/>
      <c r="E988" s="3"/>
      <c r="F988" s="5"/>
      <c r="G988" s="5"/>
      <c r="H988" s="5"/>
      <c r="I988" s="3"/>
      <c r="J988" s="3"/>
      <c r="K988" s="3"/>
      <c r="L988" s="3"/>
      <c r="M988" s="3"/>
      <c r="N988" s="3"/>
      <c r="O988" s="3"/>
      <c r="P988" s="3"/>
      <c r="Q988" s="3"/>
      <c r="R988" s="3"/>
      <c r="S988" s="3"/>
      <c r="T988" s="3"/>
      <c r="U988" s="3"/>
      <c r="V988" s="3"/>
      <c r="W988" s="3"/>
      <c r="X988" s="3"/>
      <c r="Y988" s="3"/>
    </row>
    <row r="989">
      <c r="A989" s="5"/>
      <c r="B989" s="5"/>
      <c r="C989" s="5"/>
      <c r="D989" s="5"/>
      <c r="E989" s="3"/>
      <c r="F989" s="5"/>
      <c r="G989" s="5"/>
      <c r="H989" s="5"/>
      <c r="I989" s="3"/>
      <c r="J989" s="3"/>
      <c r="K989" s="3"/>
      <c r="L989" s="3"/>
      <c r="M989" s="3"/>
      <c r="N989" s="3"/>
      <c r="O989" s="3"/>
      <c r="P989" s="3"/>
      <c r="Q989" s="3"/>
      <c r="R989" s="3"/>
      <c r="S989" s="3"/>
      <c r="T989" s="3"/>
      <c r="U989" s="3"/>
      <c r="V989" s="3"/>
      <c r="W989" s="3"/>
      <c r="X989" s="3"/>
      <c r="Y989" s="3"/>
    </row>
    <row r="990">
      <c r="A990" s="5"/>
      <c r="B990" s="5"/>
      <c r="C990" s="5"/>
      <c r="D990" s="5"/>
      <c r="E990" s="3"/>
      <c r="F990" s="5"/>
      <c r="G990" s="5"/>
      <c r="H990" s="5"/>
      <c r="I990" s="3"/>
      <c r="J990" s="3"/>
      <c r="K990" s="3"/>
      <c r="L990" s="3"/>
      <c r="M990" s="3"/>
      <c r="N990" s="3"/>
      <c r="O990" s="3"/>
      <c r="P990" s="3"/>
      <c r="Q990" s="3"/>
      <c r="R990" s="3"/>
      <c r="S990" s="3"/>
      <c r="T990" s="3"/>
      <c r="U990" s="3"/>
      <c r="V990" s="3"/>
      <c r="W990" s="3"/>
      <c r="X990" s="3"/>
      <c r="Y990" s="3"/>
    </row>
    <row r="991">
      <c r="A991" s="5"/>
      <c r="B991" s="5"/>
      <c r="C991" s="5"/>
      <c r="D991" s="5"/>
      <c r="E991" s="3"/>
      <c r="F991" s="5"/>
      <c r="G991" s="5"/>
      <c r="H991" s="5"/>
      <c r="I991" s="3"/>
      <c r="J991" s="3"/>
      <c r="K991" s="3"/>
      <c r="L991" s="3"/>
      <c r="M991" s="3"/>
      <c r="N991" s="3"/>
      <c r="O991" s="3"/>
      <c r="P991" s="3"/>
      <c r="Q991" s="3"/>
      <c r="R991" s="3"/>
      <c r="S991" s="3"/>
      <c r="T991" s="3"/>
      <c r="U991" s="3"/>
      <c r="V991" s="3"/>
      <c r="W991" s="3"/>
      <c r="X991" s="3"/>
      <c r="Y991" s="3"/>
    </row>
    <row r="992">
      <c r="A992" s="5"/>
      <c r="B992" s="5"/>
      <c r="C992" s="5"/>
      <c r="D992" s="5"/>
      <c r="E992" s="3"/>
      <c r="F992" s="5"/>
      <c r="G992" s="5"/>
      <c r="H992" s="5"/>
      <c r="I992" s="3"/>
      <c r="J992" s="3"/>
      <c r="K992" s="3"/>
      <c r="L992" s="3"/>
      <c r="M992" s="3"/>
      <c r="N992" s="3"/>
      <c r="O992" s="3"/>
      <c r="P992" s="3"/>
      <c r="Q992" s="3"/>
      <c r="R992" s="3"/>
      <c r="S992" s="3"/>
      <c r="T992" s="3"/>
      <c r="U992" s="3"/>
      <c r="V992" s="3"/>
      <c r="W992" s="3"/>
      <c r="X992" s="3"/>
      <c r="Y992" s="3"/>
    </row>
    <row r="993">
      <c r="A993" s="5"/>
      <c r="B993" s="5"/>
      <c r="C993" s="5"/>
      <c r="D993" s="5"/>
      <c r="E993" s="3"/>
      <c r="F993" s="5"/>
      <c r="G993" s="5"/>
      <c r="H993" s="5"/>
      <c r="I993" s="3"/>
      <c r="J993" s="3"/>
      <c r="K993" s="3"/>
      <c r="L993" s="3"/>
      <c r="M993" s="3"/>
      <c r="N993" s="3"/>
      <c r="O993" s="3"/>
      <c r="P993" s="3"/>
      <c r="Q993" s="3"/>
      <c r="R993" s="3"/>
      <c r="S993" s="3"/>
      <c r="T993" s="3"/>
      <c r="U993" s="3"/>
      <c r="V993" s="3"/>
      <c r="W993" s="3"/>
      <c r="X993" s="3"/>
      <c r="Y993" s="3"/>
    </row>
    <row r="994">
      <c r="A994" s="5"/>
      <c r="B994" s="5"/>
      <c r="C994" s="5"/>
      <c r="D994" s="5"/>
      <c r="E994" s="3"/>
      <c r="F994" s="5"/>
      <c r="G994" s="5"/>
      <c r="H994" s="5"/>
      <c r="I994" s="3"/>
      <c r="J994" s="3"/>
      <c r="K994" s="3"/>
      <c r="L994" s="3"/>
      <c r="M994" s="3"/>
      <c r="N994" s="3"/>
      <c r="O994" s="3"/>
      <c r="P994" s="3"/>
      <c r="Q994" s="3"/>
      <c r="R994" s="3"/>
      <c r="S994" s="3"/>
      <c r="T994" s="3"/>
      <c r="U994" s="3"/>
      <c r="V994" s="3"/>
      <c r="W994" s="3"/>
      <c r="X994" s="3"/>
      <c r="Y994" s="3"/>
    </row>
    <row r="995">
      <c r="A995" s="5"/>
      <c r="B995" s="5"/>
      <c r="C995" s="5"/>
      <c r="D995" s="5"/>
      <c r="E995" s="3"/>
      <c r="F995" s="5"/>
      <c r="G995" s="5"/>
      <c r="H995" s="5"/>
      <c r="I995" s="3"/>
      <c r="J995" s="3"/>
      <c r="K995" s="3"/>
      <c r="L995" s="3"/>
      <c r="M995" s="3"/>
      <c r="N995" s="3"/>
      <c r="O995" s="3"/>
      <c r="P995" s="3"/>
      <c r="Q995" s="3"/>
      <c r="R995" s="3"/>
      <c r="S995" s="3"/>
      <c r="T995" s="3"/>
      <c r="U995" s="3"/>
      <c r="V995" s="3"/>
      <c r="W995" s="3"/>
      <c r="X995" s="3"/>
      <c r="Y995" s="3"/>
    </row>
    <row r="996">
      <c r="A996" s="5"/>
      <c r="B996" s="5"/>
      <c r="C996" s="5"/>
      <c r="D996" s="5"/>
      <c r="E996" s="3"/>
      <c r="F996" s="5"/>
      <c r="G996" s="5"/>
      <c r="H996" s="5"/>
      <c r="I996" s="3"/>
      <c r="J996" s="3"/>
      <c r="K996" s="3"/>
      <c r="L996" s="3"/>
      <c r="M996" s="3"/>
      <c r="N996" s="3"/>
      <c r="O996" s="3"/>
      <c r="P996" s="3"/>
      <c r="Q996" s="3"/>
      <c r="R996" s="3"/>
      <c r="S996" s="3"/>
      <c r="T996" s="3"/>
      <c r="U996" s="3"/>
      <c r="V996" s="3"/>
      <c r="W996" s="3"/>
      <c r="X996" s="3"/>
      <c r="Y996" s="3"/>
    </row>
    <row r="997">
      <c r="A997" s="5"/>
      <c r="B997" s="5"/>
      <c r="C997" s="5"/>
      <c r="D997" s="5"/>
      <c r="E997" s="3"/>
      <c r="F997" s="5"/>
      <c r="G997" s="5"/>
      <c r="H997" s="5"/>
      <c r="I997" s="3"/>
      <c r="J997" s="3"/>
      <c r="K997" s="3"/>
      <c r="L997" s="3"/>
      <c r="M997" s="3"/>
      <c r="N997" s="3"/>
      <c r="O997" s="3"/>
      <c r="P997" s="3"/>
      <c r="Q997" s="3"/>
      <c r="R997" s="3"/>
      <c r="S997" s="3"/>
      <c r="T997" s="3"/>
      <c r="U997" s="3"/>
      <c r="V997" s="3"/>
      <c r="W997" s="3"/>
      <c r="X997" s="3"/>
      <c r="Y997" s="3"/>
    </row>
    <row r="998">
      <c r="A998" s="5"/>
      <c r="B998" s="5"/>
      <c r="C998" s="5"/>
      <c r="D998" s="5"/>
      <c r="E998" s="3"/>
      <c r="F998" s="5"/>
      <c r="G998" s="5"/>
      <c r="H998" s="5"/>
      <c r="I998" s="3"/>
      <c r="J998" s="3"/>
      <c r="K998" s="3"/>
      <c r="L998" s="3"/>
      <c r="M998" s="3"/>
      <c r="N998" s="3"/>
      <c r="O998" s="3"/>
      <c r="P998" s="3"/>
      <c r="Q998" s="3"/>
      <c r="R998" s="3"/>
      <c r="S998" s="3"/>
      <c r="T998" s="3"/>
      <c r="U998" s="3"/>
      <c r="V998" s="3"/>
      <c r="W998" s="3"/>
      <c r="X998" s="3"/>
      <c r="Y998" s="3"/>
    </row>
    <row r="999">
      <c r="A999" s="5"/>
      <c r="B999" s="5"/>
      <c r="C999" s="5"/>
      <c r="D999" s="5"/>
      <c r="E999" s="3"/>
      <c r="F999" s="5"/>
      <c r="G999" s="5"/>
      <c r="H999" s="5"/>
      <c r="I999" s="3"/>
      <c r="J999" s="3"/>
      <c r="K999" s="3"/>
      <c r="L999" s="3"/>
      <c r="M999" s="3"/>
      <c r="N999" s="3"/>
      <c r="O999" s="3"/>
      <c r="P999" s="3"/>
      <c r="Q999" s="3"/>
      <c r="R999" s="3"/>
      <c r="S999" s="3"/>
      <c r="T999" s="3"/>
      <c r="U999" s="3"/>
      <c r="V999" s="3"/>
      <c r="W999" s="3"/>
      <c r="X999" s="3"/>
      <c r="Y999" s="3"/>
    </row>
    <row r="1000">
      <c r="A1000" s="5"/>
      <c r="B1000" s="5"/>
      <c r="C1000" s="5"/>
      <c r="D1000" s="5"/>
      <c r="E1000" s="3"/>
      <c r="F1000" s="5"/>
      <c r="G1000" s="5"/>
      <c r="H1000" s="5"/>
      <c r="I1000" s="3"/>
      <c r="J1000" s="3"/>
      <c r="K1000" s="3"/>
      <c r="L1000" s="3"/>
      <c r="M1000" s="3"/>
      <c r="N1000" s="3"/>
      <c r="O1000" s="3"/>
      <c r="P1000" s="3"/>
      <c r="Q1000" s="3"/>
      <c r="R1000" s="3"/>
      <c r="S1000" s="3"/>
      <c r="T1000" s="3"/>
      <c r="U1000" s="3"/>
      <c r="V1000" s="3"/>
      <c r="W1000" s="3"/>
      <c r="X1000" s="3"/>
      <c r="Y1000" s="3"/>
    </row>
    <row r="1001">
      <c r="A1001" s="5"/>
      <c r="B1001" s="5"/>
      <c r="C1001" s="5"/>
      <c r="D1001" s="5"/>
      <c r="E1001" s="3"/>
      <c r="F1001" s="5"/>
      <c r="G1001" s="5"/>
      <c r="H1001" s="5"/>
      <c r="I1001" s="3"/>
      <c r="J1001" s="3"/>
      <c r="K1001" s="3"/>
      <c r="L1001" s="3"/>
      <c r="M1001" s="3"/>
      <c r="N1001" s="3"/>
      <c r="O1001" s="3"/>
      <c r="P1001" s="3"/>
      <c r="Q1001" s="3"/>
      <c r="R1001" s="3"/>
      <c r="S1001" s="3"/>
      <c r="T1001" s="3"/>
      <c r="U1001" s="3"/>
      <c r="V1001" s="3"/>
      <c r="W1001" s="3"/>
      <c r="X1001" s="3"/>
      <c r="Y1001" s="3"/>
    </row>
    <row r="1002">
      <c r="A1002" s="5"/>
      <c r="B1002" s="5"/>
      <c r="C1002" s="5"/>
      <c r="D1002" s="5"/>
      <c r="E1002" s="3"/>
      <c r="F1002" s="5"/>
      <c r="G1002" s="5"/>
      <c r="H1002" s="5"/>
      <c r="I1002" s="3"/>
      <c r="J1002" s="3"/>
      <c r="K1002" s="3"/>
      <c r="L1002" s="3"/>
      <c r="M1002" s="3"/>
      <c r="N1002" s="3"/>
      <c r="O1002" s="3"/>
      <c r="P1002" s="3"/>
      <c r="Q1002" s="3"/>
      <c r="R1002" s="3"/>
      <c r="S1002" s="3"/>
      <c r="T1002" s="3"/>
      <c r="U1002" s="3"/>
      <c r="V1002" s="3"/>
      <c r="W1002" s="3"/>
      <c r="X1002" s="3"/>
      <c r="Y1002" s="3"/>
    </row>
    <row r="1003">
      <c r="A1003" s="5"/>
      <c r="B1003" s="5"/>
      <c r="C1003" s="5"/>
      <c r="D1003" s="5"/>
      <c r="E1003" s="3"/>
      <c r="F1003" s="5"/>
      <c r="G1003" s="5"/>
      <c r="H1003" s="5"/>
      <c r="I1003" s="3"/>
      <c r="J1003" s="3"/>
      <c r="K1003" s="3"/>
      <c r="L1003" s="3"/>
      <c r="M1003" s="3"/>
      <c r="N1003" s="3"/>
      <c r="O1003" s="3"/>
      <c r="P1003" s="3"/>
      <c r="Q1003" s="3"/>
      <c r="R1003" s="3"/>
      <c r="S1003" s="3"/>
      <c r="T1003" s="3"/>
      <c r="U1003" s="3"/>
      <c r="V1003" s="3"/>
      <c r="W1003" s="3"/>
      <c r="X1003" s="3"/>
      <c r="Y1003" s="3"/>
    </row>
    <row r="1004">
      <c r="A1004" s="5"/>
      <c r="B1004" s="5"/>
      <c r="C1004" s="5"/>
      <c r="D1004" s="5"/>
      <c r="E1004" s="3"/>
      <c r="F1004" s="5"/>
      <c r="G1004" s="5"/>
      <c r="H1004" s="5"/>
      <c r="I1004" s="3"/>
      <c r="J1004" s="3"/>
      <c r="K1004" s="3"/>
      <c r="L1004" s="3"/>
      <c r="M1004" s="3"/>
      <c r="N1004" s="3"/>
      <c r="O1004" s="3"/>
      <c r="P1004" s="3"/>
      <c r="Q1004" s="3"/>
      <c r="R1004" s="3"/>
      <c r="S1004" s="3"/>
      <c r="T1004" s="3"/>
      <c r="U1004" s="3"/>
      <c r="V1004" s="3"/>
      <c r="W1004" s="3"/>
      <c r="X1004" s="3"/>
      <c r="Y1004" s="3"/>
    </row>
    <row r="1005">
      <c r="A1005" s="5"/>
      <c r="B1005" s="5"/>
      <c r="C1005" s="5"/>
      <c r="D1005" s="5"/>
      <c r="E1005" s="3"/>
      <c r="F1005" s="5"/>
      <c r="G1005" s="5"/>
      <c r="H1005" s="5"/>
      <c r="I1005" s="3"/>
      <c r="J1005" s="3"/>
      <c r="K1005" s="3"/>
      <c r="L1005" s="3"/>
      <c r="M1005" s="3"/>
      <c r="N1005" s="3"/>
      <c r="O1005" s="3"/>
      <c r="P1005" s="3"/>
      <c r="Q1005" s="3"/>
      <c r="R1005" s="3"/>
      <c r="S1005" s="3"/>
      <c r="T1005" s="3"/>
      <c r="U1005" s="3"/>
      <c r="V1005" s="3"/>
      <c r="W1005" s="3"/>
      <c r="X1005" s="3"/>
      <c r="Y1005" s="3"/>
    </row>
    <row r="1006">
      <c r="A1006" s="5"/>
      <c r="B1006" s="5"/>
      <c r="C1006" s="5"/>
      <c r="D1006" s="5"/>
      <c r="E1006" s="3"/>
      <c r="F1006" s="5"/>
      <c r="G1006" s="5"/>
      <c r="H1006" s="5"/>
      <c r="I1006" s="3"/>
      <c r="J1006" s="3"/>
      <c r="K1006" s="3"/>
      <c r="L1006" s="3"/>
      <c r="M1006" s="3"/>
      <c r="N1006" s="3"/>
      <c r="O1006" s="3"/>
      <c r="P1006" s="3"/>
      <c r="Q1006" s="3"/>
      <c r="R1006" s="3"/>
      <c r="S1006" s="3"/>
      <c r="T1006" s="3"/>
      <c r="U1006" s="3"/>
      <c r="V1006" s="3"/>
      <c r="W1006" s="3"/>
      <c r="X1006" s="3"/>
      <c r="Y1006" s="3"/>
    </row>
    <row r="1007">
      <c r="A1007" s="5"/>
      <c r="B1007" s="5"/>
      <c r="C1007" s="5"/>
      <c r="D1007" s="5"/>
      <c r="E1007" s="3"/>
      <c r="F1007" s="5"/>
      <c r="G1007" s="5"/>
      <c r="H1007" s="5"/>
      <c r="I1007" s="3"/>
      <c r="J1007" s="3"/>
      <c r="K1007" s="3"/>
      <c r="L1007" s="3"/>
      <c r="M1007" s="3"/>
      <c r="N1007" s="3"/>
      <c r="O1007" s="3"/>
      <c r="P1007" s="3"/>
      <c r="Q1007" s="3"/>
      <c r="R1007" s="3"/>
      <c r="S1007" s="3"/>
      <c r="T1007" s="3"/>
      <c r="U1007" s="3"/>
      <c r="V1007" s="3"/>
      <c r="W1007" s="3"/>
      <c r="X1007" s="3"/>
      <c r="Y1007" s="3"/>
    </row>
    <row r="1008">
      <c r="A1008" s="5"/>
      <c r="B1008" s="5"/>
      <c r="C1008" s="5"/>
      <c r="D1008" s="5"/>
      <c r="E1008" s="3"/>
      <c r="F1008" s="5"/>
      <c r="G1008" s="5"/>
      <c r="H1008" s="5"/>
      <c r="I1008" s="3"/>
      <c r="J1008" s="3"/>
      <c r="K1008" s="3"/>
      <c r="L1008" s="3"/>
      <c r="M1008" s="3"/>
      <c r="N1008" s="3"/>
      <c r="O1008" s="3"/>
      <c r="P1008" s="3"/>
      <c r="Q1008" s="3"/>
      <c r="R1008" s="3"/>
      <c r="S1008" s="3"/>
      <c r="T1008" s="3"/>
      <c r="U1008" s="3"/>
      <c r="V1008" s="3"/>
      <c r="W1008" s="3"/>
      <c r="X1008" s="3"/>
      <c r="Y1008" s="3"/>
    </row>
    <row r="1009">
      <c r="A1009" s="5"/>
      <c r="B1009" s="5"/>
      <c r="C1009" s="5"/>
      <c r="D1009" s="5"/>
      <c r="E1009" s="3"/>
      <c r="F1009" s="5"/>
      <c r="G1009" s="5"/>
      <c r="H1009" s="5"/>
      <c r="I1009" s="3"/>
      <c r="J1009" s="3"/>
      <c r="K1009" s="3"/>
      <c r="L1009" s="3"/>
      <c r="M1009" s="3"/>
      <c r="N1009" s="3"/>
      <c r="O1009" s="3"/>
      <c r="P1009" s="3"/>
      <c r="Q1009" s="3"/>
      <c r="R1009" s="3"/>
      <c r="S1009" s="3"/>
      <c r="T1009" s="3"/>
      <c r="U1009" s="3"/>
      <c r="V1009" s="3"/>
      <c r="W1009" s="3"/>
      <c r="X1009" s="3"/>
      <c r="Y1009" s="3"/>
    </row>
    <row r="1010">
      <c r="A1010" s="5"/>
      <c r="B1010" s="5"/>
      <c r="C1010" s="5"/>
      <c r="D1010" s="5"/>
      <c r="E1010" s="3"/>
      <c r="F1010" s="5"/>
      <c r="G1010" s="5"/>
      <c r="H1010" s="5"/>
      <c r="I1010" s="3"/>
      <c r="J1010" s="3"/>
      <c r="K1010" s="3"/>
      <c r="L1010" s="3"/>
      <c r="M1010" s="3"/>
      <c r="N1010" s="3"/>
      <c r="O1010" s="3"/>
      <c r="P1010" s="3"/>
      <c r="Q1010" s="3"/>
      <c r="R1010" s="3"/>
      <c r="S1010" s="3"/>
      <c r="T1010" s="3"/>
      <c r="U1010" s="3"/>
      <c r="V1010" s="3"/>
      <c r="W1010" s="3"/>
      <c r="X1010" s="3"/>
      <c r="Y1010" s="3"/>
    </row>
    <row r="1011">
      <c r="A1011" s="5"/>
      <c r="B1011" s="5"/>
      <c r="C1011" s="5"/>
      <c r="D1011" s="5"/>
      <c r="E1011" s="3"/>
      <c r="F1011" s="5"/>
      <c r="G1011" s="5"/>
      <c r="H1011" s="5"/>
      <c r="I1011" s="3"/>
      <c r="J1011" s="3"/>
      <c r="K1011" s="3"/>
      <c r="L1011" s="3"/>
      <c r="M1011" s="3"/>
      <c r="N1011" s="3"/>
      <c r="O1011" s="3"/>
      <c r="P1011" s="3"/>
      <c r="Q1011" s="3"/>
      <c r="R1011" s="3"/>
      <c r="S1011" s="3"/>
      <c r="T1011" s="3"/>
      <c r="U1011" s="3"/>
      <c r="V1011" s="3"/>
      <c r="W1011" s="3"/>
      <c r="X1011" s="3"/>
      <c r="Y1011" s="3"/>
    </row>
    <row r="1012">
      <c r="A1012" s="5"/>
      <c r="B1012" s="5"/>
      <c r="C1012" s="5"/>
      <c r="D1012" s="5"/>
      <c r="E1012" s="3"/>
      <c r="F1012" s="5"/>
      <c r="G1012" s="5"/>
      <c r="H1012" s="5"/>
      <c r="I1012" s="3"/>
      <c r="J1012" s="3"/>
      <c r="K1012" s="3"/>
      <c r="L1012" s="3"/>
      <c r="M1012" s="3"/>
      <c r="N1012" s="3"/>
      <c r="O1012" s="3"/>
      <c r="P1012" s="3"/>
      <c r="Q1012" s="3"/>
      <c r="R1012" s="3"/>
      <c r="S1012" s="3"/>
      <c r="T1012" s="3"/>
      <c r="U1012" s="3"/>
      <c r="V1012" s="3"/>
      <c r="W1012" s="3"/>
      <c r="X1012" s="3"/>
      <c r="Y1012" s="3"/>
    </row>
    <row r="1013">
      <c r="A1013" s="5"/>
      <c r="B1013" s="5"/>
      <c r="C1013" s="5"/>
      <c r="D1013" s="5"/>
      <c r="E1013" s="3"/>
      <c r="F1013" s="5"/>
      <c r="G1013" s="5"/>
      <c r="H1013" s="5"/>
      <c r="I1013" s="3"/>
      <c r="J1013" s="3"/>
      <c r="K1013" s="3"/>
      <c r="L1013" s="3"/>
      <c r="M1013" s="3"/>
      <c r="N1013" s="3"/>
      <c r="O1013" s="3"/>
      <c r="P1013" s="3"/>
      <c r="Q1013" s="3"/>
      <c r="R1013" s="3"/>
      <c r="S1013" s="3"/>
      <c r="T1013" s="3"/>
      <c r="U1013" s="3"/>
      <c r="V1013" s="3"/>
      <c r="W1013" s="3"/>
      <c r="X1013" s="3"/>
      <c r="Y1013" s="3"/>
    </row>
    <row r="1014">
      <c r="A1014" s="5"/>
      <c r="B1014" s="5"/>
      <c r="C1014" s="5"/>
      <c r="D1014" s="5"/>
      <c r="E1014" s="3"/>
      <c r="F1014" s="5"/>
      <c r="G1014" s="5"/>
      <c r="H1014" s="5"/>
      <c r="I1014" s="3"/>
      <c r="J1014" s="3"/>
      <c r="K1014" s="3"/>
      <c r="L1014" s="3"/>
      <c r="M1014" s="3"/>
      <c r="N1014" s="3"/>
      <c r="O1014" s="3"/>
      <c r="P1014" s="3"/>
      <c r="Q1014" s="3"/>
      <c r="R1014" s="3"/>
      <c r="S1014" s="3"/>
      <c r="T1014" s="3"/>
      <c r="U1014" s="3"/>
      <c r="V1014" s="3"/>
      <c r="W1014" s="3"/>
      <c r="X1014" s="3"/>
      <c r="Y1014" s="3"/>
    </row>
    <row r="1015">
      <c r="A1015" s="5"/>
      <c r="B1015" s="5"/>
      <c r="C1015" s="5"/>
      <c r="D1015" s="5"/>
      <c r="E1015" s="3"/>
      <c r="F1015" s="5"/>
      <c r="G1015" s="5"/>
      <c r="H1015" s="5"/>
      <c r="I1015" s="3"/>
      <c r="J1015" s="3"/>
      <c r="K1015" s="3"/>
      <c r="L1015" s="3"/>
      <c r="M1015" s="3"/>
      <c r="N1015" s="3"/>
      <c r="O1015" s="3"/>
      <c r="P1015" s="3"/>
      <c r="Q1015" s="3"/>
      <c r="R1015" s="3"/>
      <c r="S1015" s="3"/>
      <c r="T1015" s="3"/>
      <c r="U1015" s="3"/>
      <c r="V1015" s="3"/>
      <c r="W1015" s="3"/>
      <c r="X1015" s="3"/>
      <c r="Y1015" s="3"/>
    </row>
    <row r="1016">
      <c r="A1016" s="5"/>
      <c r="B1016" s="5"/>
      <c r="C1016" s="5"/>
      <c r="D1016" s="5"/>
      <c r="E1016" s="3"/>
      <c r="F1016" s="5"/>
      <c r="G1016" s="5"/>
      <c r="H1016" s="5"/>
      <c r="I1016" s="3"/>
      <c r="J1016" s="3"/>
      <c r="K1016" s="3"/>
      <c r="L1016" s="3"/>
      <c r="M1016" s="3"/>
      <c r="N1016" s="3"/>
      <c r="O1016" s="3"/>
      <c r="P1016" s="3"/>
      <c r="Q1016" s="3"/>
      <c r="R1016" s="3"/>
      <c r="S1016" s="3"/>
      <c r="T1016" s="3"/>
      <c r="U1016" s="3"/>
      <c r="V1016" s="3"/>
      <c r="W1016" s="3"/>
      <c r="X1016" s="3"/>
      <c r="Y1016" s="3"/>
    </row>
    <row r="1017">
      <c r="A1017" s="5"/>
      <c r="B1017" s="5"/>
      <c r="C1017" s="5"/>
      <c r="D1017" s="5"/>
      <c r="E1017" s="3"/>
      <c r="F1017" s="5"/>
      <c r="G1017" s="5"/>
      <c r="H1017" s="5"/>
      <c r="I1017" s="3"/>
      <c r="J1017" s="3"/>
      <c r="K1017" s="3"/>
      <c r="L1017" s="3"/>
      <c r="M1017" s="3"/>
      <c r="N1017" s="3"/>
      <c r="O1017" s="3"/>
      <c r="P1017" s="3"/>
      <c r="Q1017" s="3"/>
      <c r="R1017" s="3"/>
      <c r="S1017" s="3"/>
      <c r="T1017" s="3"/>
      <c r="U1017" s="3"/>
      <c r="V1017" s="3"/>
      <c r="W1017" s="3"/>
      <c r="X1017" s="3"/>
      <c r="Y1017" s="3"/>
    </row>
    <row r="1018">
      <c r="A1018" s="5"/>
      <c r="B1018" s="5"/>
      <c r="C1018" s="5"/>
      <c r="D1018" s="5"/>
      <c r="E1018" s="3"/>
      <c r="F1018" s="5"/>
      <c r="G1018" s="5"/>
      <c r="H1018" s="5"/>
      <c r="I1018" s="3"/>
      <c r="J1018" s="3"/>
      <c r="K1018" s="3"/>
      <c r="L1018" s="3"/>
      <c r="M1018" s="3"/>
      <c r="N1018" s="3"/>
      <c r="O1018" s="3"/>
      <c r="P1018" s="3"/>
      <c r="Q1018" s="3"/>
      <c r="R1018" s="3"/>
      <c r="S1018" s="3"/>
      <c r="T1018" s="3"/>
      <c r="U1018" s="3"/>
      <c r="V1018" s="3"/>
      <c r="W1018" s="3"/>
      <c r="X1018" s="3"/>
      <c r="Y1018" s="3"/>
    </row>
    <row r="1019">
      <c r="A1019" s="5"/>
      <c r="B1019" s="5"/>
      <c r="C1019" s="5"/>
      <c r="D1019" s="5"/>
      <c r="E1019" s="3"/>
      <c r="F1019" s="5"/>
      <c r="G1019" s="5"/>
      <c r="H1019" s="5"/>
      <c r="I1019" s="3"/>
      <c r="J1019" s="3"/>
      <c r="K1019" s="3"/>
      <c r="L1019" s="3"/>
      <c r="M1019" s="3"/>
      <c r="N1019" s="3"/>
      <c r="O1019" s="3"/>
      <c r="P1019" s="3"/>
      <c r="Q1019" s="3"/>
      <c r="R1019" s="3"/>
      <c r="S1019" s="3"/>
      <c r="T1019" s="3"/>
      <c r="U1019" s="3"/>
      <c r="V1019" s="3"/>
      <c r="W1019" s="3"/>
      <c r="X1019" s="3"/>
      <c r="Y1019" s="3"/>
    </row>
    <row r="1020">
      <c r="A1020" s="5"/>
      <c r="B1020" s="5"/>
      <c r="C1020" s="5"/>
      <c r="D1020" s="5"/>
      <c r="E1020" s="3"/>
      <c r="F1020" s="5"/>
      <c r="G1020" s="5"/>
      <c r="H1020" s="5"/>
      <c r="I1020" s="3"/>
      <c r="J1020" s="3"/>
      <c r="K1020" s="3"/>
      <c r="L1020" s="3"/>
      <c r="M1020" s="3"/>
      <c r="N1020" s="3"/>
      <c r="O1020" s="3"/>
      <c r="P1020" s="3"/>
      <c r="Q1020" s="3"/>
      <c r="R1020" s="3"/>
      <c r="S1020" s="3"/>
      <c r="T1020" s="3"/>
      <c r="U1020" s="3"/>
      <c r="V1020" s="3"/>
      <c r="W1020" s="3"/>
      <c r="X1020" s="3"/>
      <c r="Y1020" s="3"/>
    </row>
    <row r="1021">
      <c r="A1021" s="5"/>
      <c r="B1021" s="5"/>
      <c r="C1021" s="5"/>
      <c r="D1021" s="5"/>
      <c r="E1021" s="3"/>
      <c r="F1021" s="5"/>
      <c r="G1021" s="5"/>
      <c r="H1021" s="5"/>
      <c r="I1021" s="3"/>
      <c r="J1021" s="3"/>
      <c r="K1021" s="3"/>
      <c r="L1021" s="3"/>
      <c r="M1021" s="3"/>
      <c r="N1021" s="3"/>
      <c r="O1021" s="3"/>
      <c r="P1021" s="3"/>
      <c r="Q1021" s="3"/>
      <c r="R1021" s="3"/>
      <c r="S1021" s="3"/>
      <c r="T1021" s="3"/>
      <c r="U1021" s="3"/>
      <c r="V1021" s="3"/>
      <c r="W1021" s="3"/>
      <c r="X1021" s="3"/>
      <c r="Y1021" s="3"/>
    </row>
    <row r="1022">
      <c r="A1022" s="5"/>
      <c r="B1022" s="5"/>
      <c r="C1022" s="5"/>
      <c r="D1022" s="5"/>
      <c r="E1022" s="3"/>
      <c r="F1022" s="5"/>
      <c r="G1022" s="5"/>
      <c r="H1022" s="5"/>
      <c r="I1022" s="3"/>
      <c r="J1022" s="3"/>
      <c r="K1022" s="3"/>
      <c r="L1022" s="3"/>
      <c r="M1022" s="3"/>
      <c r="N1022" s="3"/>
      <c r="O1022" s="3"/>
      <c r="P1022" s="3"/>
      <c r="Q1022" s="3"/>
      <c r="R1022" s="3"/>
      <c r="S1022" s="3"/>
      <c r="T1022" s="3"/>
      <c r="U1022" s="3"/>
      <c r="V1022" s="3"/>
      <c r="W1022" s="3"/>
      <c r="X1022" s="3"/>
      <c r="Y1022" s="3"/>
    </row>
    <row r="1023">
      <c r="A1023" s="5"/>
      <c r="B1023" s="5"/>
      <c r="C1023" s="5"/>
      <c r="D1023" s="5"/>
      <c r="E1023" s="3"/>
      <c r="F1023" s="5"/>
      <c r="G1023" s="5"/>
      <c r="H1023" s="5"/>
      <c r="I1023" s="3"/>
      <c r="J1023" s="3"/>
      <c r="K1023" s="3"/>
      <c r="L1023" s="3"/>
      <c r="M1023" s="3"/>
      <c r="N1023" s="3"/>
      <c r="O1023" s="3"/>
      <c r="P1023" s="3"/>
      <c r="Q1023" s="3"/>
      <c r="R1023" s="3"/>
      <c r="S1023" s="3"/>
      <c r="T1023" s="3"/>
      <c r="U1023" s="3"/>
      <c r="V1023" s="3"/>
      <c r="W1023" s="3"/>
      <c r="X1023" s="3"/>
      <c r="Y1023" s="3"/>
    </row>
    <row r="1024">
      <c r="A1024" s="5"/>
      <c r="B1024" s="5"/>
      <c r="C1024" s="5"/>
      <c r="D1024" s="5"/>
      <c r="E1024" s="3"/>
      <c r="F1024" s="5"/>
      <c r="G1024" s="5"/>
      <c r="H1024" s="5"/>
      <c r="I1024" s="3"/>
      <c r="J1024" s="3"/>
      <c r="K1024" s="3"/>
      <c r="L1024" s="3"/>
      <c r="M1024" s="3"/>
      <c r="N1024" s="3"/>
      <c r="O1024" s="3"/>
      <c r="P1024" s="3"/>
      <c r="Q1024" s="3"/>
      <c r="R1024" s="3"/>
      <c r="S1024" s="3"/>
      <c r="T1024" s="3"/>
      <c r="U1024" s="3"/>
      <c r="V1024" s="3"/>
      <c r="W1024" s="3"/>
      <c r="X1024" s="3"/>
      <c r="Y1024" s="3"/>
    </row>
    <row r="1025">
      <c r="A1025" s="5"/>
      <c r="B1025" s="5"/>
      <c r="C1025" s="5"/>
      <c r="D1025" s="5"/>
      <c r="E1025" s="3"/>
      <c r="F1025" s="5"/>
      <c r="G1025" s="5"/>
      <c r="H1025" s="5"/>
      <c r="I1025" s="3"/>
      <c r="J1025" s="3"/>
      <c r="K1025" s="3"/>
      <c r="L1025" s="3"/>
      <c r="M1025" s="3"/>
      <c r="N1025" s="3"/>
      <c r="O1025" s="3"/>
      <c r="P1025" s="3"/>
      <c r="Q1025" s="3"/>
      <c r="R1025" s="3"/>
      <c r="S1025" s="3"/>
      <c r="T1025" s="3"/>
      <c r="U1025" s="3"/>
      <c r="V1025" s="3"/>
      <c r="W1025" s="3"/>
      <c r="X1025" s="3"/>
      <c r="Y1025" s="3"/>
    </row>
    <row r="1026">
      <c r="A1026" s="5"/>
      <c r="B1026" s="5"/>
      <c r="C1026" s="5"/>
      <c r="D1026" s="5"/>
      <c r="E1026" s="3"/>
      <c r="F1026" s="5"/>
      <c r="G1026" s="5"/>
      <c r="H1026" s="5"/>
      <c r="I1026" s="3"/>
      <c r="J1026" s="3"/>
      <c r="K1026" s="3"/>
      <c r="L1026" s="3"/>
      <c r="M1026" s="3"/>
      <c r="N1026" s="3"/>
      <c r="O1026" s="3"/>
      <c r="P1026" s="3"/>
      <c r="Q1026" s="3"/>
      <c r="R1026" s="3"/>
      <c r="S1026" s="3"/>
      <c r="T1026" s="3"/>
      <c r="U1026" s="3"/>
      <c r="V1026" s="3"/>
      <c r="W1026" s="3"/>
      <c r="X1026" s="3"/>
      <c r="Y1026" s="3"/>
    </row>
    <row r="1027">
      <c r="A1027" s="5"/>
      <c r="B1027" s="5"/>
      <c r="C1027" s="5"/>
      <c r="D1027" s="5"/>
      <c r="E1027" s="3"/>
      <c r="F1027" s="5"/>
      <c r="G1027" s="5"/>
      <c r="H1027" s="5"/>
      <c r="I1027" s="3"/>
      <c r="J1027" s="3"/>
      <c r="K1027" s="3"/>
      <c r="L1027" s="3"/>
      <c r="M1027" s="3"/>
      <c r="N1027" s="3"/>
      <c r="O1027" s="3"/>
      <c r="P1027" s="3"/>
      <c r="Q1027" s="3"/>
      <c r="R1027" s="3"/>
      <c r="S1027" s="3"/>
      <c r="T1027" s="3"/>
      <c r="U1027" s="3"/>
      <c r="V1027" s="3"/>
      <c r="W1027" s="3"/>
      <c r="X1027" s="3"/>
      <c r="Y1027" s="3"/>
    </row>
    <row r="1028">
      <c r="A1028" s="5"/>
      <c r="B1028" s="5"/>
      <c r="C1028" s="5"/>
      <c r="D1028" s="5"/>
      <c r="E1028" s="3"/>
      <c r="F1028" s="5"/>
      <c r="G1028" s="5"/>
      <c r="H1028" s="5"/>
      <c r="I1028" s="3"/>
      <c r="J1028" s="3"/>
      <c r="K1028" s="3"/>
      <c r="L1028" s="3"/>
      <c r="M1028" s="3"/>
      <c r="N1028" s="3"/>
      <c r="O1028" s="3"/>
      <c r="P1028" s="3"/>
      <c r="Q1028" s="3"/>
      <c r="R1028" s="3"/>
      <c r="S1028" s="3"/>
      <c r="T1028" s="3"/>
      <c r="U1028" s="3"/>
      <c r="V1028" s="3"/>
      <c r="W1028" s="3"/>
      <c r="X1028" s="3"/>
      <c r="Y1028" s="3"/>
    </row>
    <row r="1029">
      <c r="A1029" s="5"/>
      <c r="B1029" s="5"/>
      <c r="C1029" s="5"/>
      <c r="D1029" s="5"/>
      <c r="E1029" s="3"/>
      <c r="F1029" s="5"/>
      <c r="G1029" s="5"/>
      <c r="H1029" s="5"/>
      <c r="I1029" s="3"/>
      <c r="J1029" s="3"/>
      <c r="K1029" s="3"/>
      <c r="L1029" s="3"/>
      <c r="M1029" s="3"/>
      <c r="N1029" s="3"/>
      <c r="O1029" s="3"/>
      <c r="P1029" s="3"/>
      <c r="Q1029" s="3"/>
      <c r="R1029" s="3"/>
      <c r="S1029" s="3"/>
      <c r="T1029" s="3"/>
      <c r="U1029" s="3"/>
      <c r="V1029" s="3"/>
      <c r="W1029" s="3"/>
      <c r="X1029" s="3"/>
      <c r="Y1029" s="3"/>
    </row>
    <row r="1030">
      <c r="A1030" s="5"/>
      <c r="B1030" s="5"/>
      <c r="C1030" s="5"/>
      <c r="D1030" s="5"/>
      <c r="E1030" s="3"/>
      <c r="F1030" s="5"/>
      <c r="G1030" s="5"/>
      <c r="H1030" s="5"/>
      <c r="I1030" s="3"/>
      <c r="J1030" s="3"/>
      <c r="K1030" s="3"/>
      <c r="L1030" s="3"/>
      <c r="M1030" s="3"/>
      <c r="N1030" s="3"/>
      <c r="O1030" s="3"/>
      <c r="P1030" s="3"/>
      <c r="Q1030" s="3"/>
      <c r="R1030" s="3"/>
      <c r="S1030" s="3"/>
      <c r="T1030" s="3"/>
      <c r="U1030" s="3"/>
      <c r="V1030" s="3"/>
      <c r="W1030" s="3"/>
      <c r="X1030" s="3"/>
      <c r="Y1030" s="3"/>
    </row>
    <row r="1031">
      <c r="A1031" s="5"/>
      <c r="B1031" s="5"/>
      <c r="C1031" s="5"/>
      <c r="D1031" s="5"/>
      <c r="E1031" s="3"/>
      <c r="F1031" s="5"/>
      <c r="G1031" s="5"/>
      <c r="H1031" s="5"/>
      <c r="I1031" s="3"/>
      <c r="J1031" s="3"/>
      <c r="K1031" s="3"/>
      <c r="L1031" s="3"/>
      <c r="M1031" s="3"/>
      <c r="N1031" s="3"/>
      <c r="O1031" s="3"/>
      <c r="P1031" s="3"/>
      <c r="Q1031" s="3"/>
      <c r="R1031" s="3"/>
      <c r="S1031" s="3"/>
      <c r="T1031" s="3"/>
      <c r="U1031" s="3"/>
      <c r="V1031" s="3"/>
      <c r="W1031" s="3"/>
      <c r="X1031" s="3"/>
      <c r="Y1031" s="3"/>
    </row>
    <row r="1032">
      <c r="A1032" s="5"/>
      <c r="B1032" s="5"/>
      <c r="C1032" s="5"/>
      <c r="D1032" s="5"/>
      <c r="E1032" s="3"/>
      <c r="F1032" s="5"/>
      <c r="G1032" s="5"/>
      <c r="H1032" s="5"/>
      <c r="I1032" s="3"/>
      <c r="J1032" s="3"/>
      <c r="K1032" s="3"/>
      <c r="L1032" s="3"/>
      <c r="M1032" s="3"/>
      <c r="N1032" s="3"/>
      <c r="O1032" s="3"/>
      <c r="P1032" s="3"/>
      <c r="Q1032" s="3"/>
      <c r="R1032" s="3"/>
      <c r="S1032" s="3"/>
      <c r="T1032" s="3"/>
      <c r="U1032" s="3"/>
      <c r="V1032" s="3"/>
      <c r="W1032" s="3"/>
      <c r="X1032" s="3"/>
      <c r="Y1032" s="3"/>
    </row>
    <row r="1033">
      <c r="A1033" s="5"/>
      <c r="B1033" s="5"/>
      <c r="C1033" s="5"/>
      <c r="D1033" s="5"/>
      <c r="E1033" s="3"/>
      <c r="F1033" s="5"/>
      <c r="G1033" s="5"/>
      <c r="H1033" s="5"/>
      <c r="I1033" s="3"/>
      <c r="J1033" s="3"/>
      <c r="K1033" s="3"/>
      <c r="L1033" s="3"/>
      <c r="M1033" s="3"/>
      <c r="N1033" s="3"/>
      <c r="O1033" s="3"/>
      <c r="P1033" s="3"/>
      <c r="Q1033" s="3"/>
      <c r="R1033" s="3"/>
      <c r="S1033" s="3"/>
      <c r="T1033" s="3"/>
      <c r="U1033" s="3"/>
      <c r="V1033" s="3"/>
      <c r="W1033" s="3"/>
      <c r="X1033" s="3"/>
      <c r="Y1033" s="3"/>
    </row>
    <row r="1034">
      <c r="A1034" s="5"/>
      <c r="B1034" s="5"/>
      <c r="C1034" s="5"/>
      <c r="D1034" s="5"/>
      <c r="E1034" s="3"/>
      <c r="F1034" s="5"/>
      <c r="G1034" s="5"/>
      <c r="H1034" s="5"/>
      <c r="I1034" s="3"/>
      <c r="J1034" s="3"/>
      <c r="K1034" s="3"/>
      <c r="L1034" s="3"/>
      <c r="M1034" s="3"/>
      <c r="N1034" s="3"/>
      <c r="O1034" s="3"/>
      <c r="P1034" s="3"/>
      <c r="Q1034" s="3"/>
      <c r="R1034" s="3"/>
      <c r="S1034" s="3"/>
      <c r="T1034" s="3"/>
      <c r="U1034" s="3"/>
      <c r="V1034" s="3"/>
      <c r="W1034" s="3"/>
      <c r="X1034" s="3"/>
      <c r="Y1034" s="3"/>
    </row>
    <row r="1035">
      <c r="A1035" s="5"/>
      <c r="B1035" s="5"/>
      <c r="C1035" s="5"/>
      <c r="D1035" s="5"/>
      <c r="E1035" s="3"/>
      <c r="F1035" s="5"/>
      <c r="G1035" s="5"/>
      <c r="H1035" s="5"/>
      <c r="I1035" s="3"/>
      <c r="J1035" s="3"/>
      <c r="K1035" s="3"/>
      <c r="L1035" s="3"/>
      <c r="M1035" s="3"/>
      <c r="N1035" s="3"/>
      <c r="O1035" s="3"/>
      <c r="P1035" s="3"/>
      <c r="Q1035" s="3"/>
      <c r="R1035" s="3"/>
      <c r="S1035" s="3"/>
      <c r="T1035" s="3"/>
      <c r="U1035" s="3"/>
      <c r="V1035" s="3"/>
      <c r="W1035" s="3"/>
      <c r="X1035" s="3"/>
      <c r="Y1035" s="3"/>
    </row>
    <row r="1036">
      <c r="A1036" s="5"/>
      <c r="B1036" s="5"/>
      <c r="C1036" s="5"/>
      <c r="D1036" s="5"/>
      <c r="E1036" s="3"/>
      <c r="F1036" s="5"/>
      <c r="G1036" s="5"/>
      <c r="H1036" s="5"/>
      <c r="I1036" s="3"/>
      <c r="J1036" s="3"/>
      <c r="K1036" s="3"/>
      <c r="L1036" s="3"/>
      <c r="M1036" s="3"/>
      <c r="N1036" s="3"/>
      <c r="O1036" s="3"/>
      <c r="P1036" s="3"/>
      <c r="Q1036" s="3"/>
      <c r="R1036" s="3"/>
      <c r="S1036" s="3"/>
      <c r="T1036" s="3"/>
      <c r="U1036" s="3"/>
      <c r="V1036" s="3"/>
      <c r="W1036" s="3"/>
      <c r="X1036" s="3"/>
      <c r="Y1036" s="3"/>
    </row>
    <row r="1037">
      <c r="A1037" s="5"/>
      <c r="B1037" s="5"/>
      <c r="C1037" s="5"/>
      <c r="D1037" s="5"/>
      <c r="E1037" s="3"/>
      <c r="F1037" s="5"/>
      <c r="G1037" s="5"/>
      <c r="H1037" s="5"/>
      <c r="I1037" s="3"/>
      <c r="J1037" s="3"/>
      <c r="K1037" s="3"/>
      <c r="L1037" s="3"/>
      <c r="M1037" s="3"/>
      <c r="N1037" s="3"/>
      <c r="O1037" s="3"/>
      <c r="P1037" s="3"/>
      <c r="Q1037" s="3"/>
      <c r="R1037" s="3"/>
      <c r="S1037" s="3"/>
      <c r="T1037" s="3"/>
      <c r="U1037" s="3"/>
      <c r="V1037" s="3"/>
      <c r="W1037" s="3"/>
      <c r="X1037" s="3"/>
      <c r="Y1037" s="3"/>
    </row>
    <row r="1038">
      <c r="A1038" s="5"/>
      <c r="B1038" s="5"/>
      <c r="C1038" s="5"/>
      <c r="D1038" s="5"/>
      <c r="E1038" s="3"/>
      <c r="F1038" s="5"/>
      <c r="G1038" s="5"/>
      <c r="H1038" s="5"/>
      <c r="I1038" s="3"/>
      <c r="J1038" s="3"/>
      <c r="K1038" s="3"/>
      <c r="L1038" s="3"/>
      <c r="M1038" s="3"/>
      <c r="N1038" s="3"/>
      <c r="O1038" s="3"/>
      <c r="P1038" s="3"/>
      <c r="Q1038" s="3"/>
      <c r="R1038" s="3"/>
      <c r="S1038" s="3"/>
      <c r="T1038" s="3"/>
      <c r="U1038" s="3"/>
      <c r="V1038" s="3"/>
      <c r="W1038" s="3"/>
      <c r="X1038" s="3"/>
      <c r="Y1038" s="3"/>
    </row>
    <row r="1039">
      <c r="A1039" s="5"/>
      <c r="B1039" s="5"/>
      <c r="C1039" s="5"/>
      <c r="D1039" s="5"/>
      <c r="E1039" s="3"/>
      <c r="F1039" s="5"/>
      <c r="G1039" s="5"/>
      <c r="H1039" s="5"/>
      <c r="I1039" s="3"/>
      <c r="J1039" s="3"/>
      <c r="K1039" s="3"/>
      <c r="L1039" s="3"/>
      <c r="M1039" s="3"/>
      <c r="N1039" s="3"/>
      <c r="O1039" s="3"/>
      <c r="P1039" s="3"/>
      <c r="Q1039" s="3"/>
      <c r="R1039" s="3"/>
      <c r="S1039" s="3"/>
      <c r="T1039" s="3"/>
      <c r="U1039" s="3"/>
      <c r="V1039" s="3"/>
      <c r="W1039" s="3"/>
      <c r="X1039" s="3"/>
      <c r="Y1039" s="3"/>
    </row>
    <row r="1040">
      <c r="A1040" s="5"/>
      <c r="B1040" s="5"/>
      <c r="C1040" s="5"/>
      <c r="D1040" s="5"/>
      <c r="E1040" s="3"/>
      <c r="F1040" s="5"/>
      <c r="G1040" s="5"/>
      <c r="H1040" s="5"/>
      <c r="I1040" s="3"/>
      <c r="J1040" s="3"/>
      <c r="K1040" s="3"/>
      <c r="L1040" s="3"/>
      <c r="M1040" s="3"/>
      <c r="N1040" s="3"/>
      <c r="O1040" s="3"/>
      <c r="P1040" s="3"/>
      <c r="Q1040" s="3"/>
      <c r="R1040" s="3"/>
      <c r="S1040" s="3"/>
      <c r="T1040" s="3"/>
      <c r="U1040" s="3"/>
      <c r="V1040" s="3"/>
      <c r="W1040" s="3"/>
      <c r="X1040" s="3"/>
      <c r="Y1040" s="3"/>
    </row>
    <row r="1041">
      <c r="A1041" s="5"/>
      <c r="B1041" s="5"/>
      <c r="C1041" s="5"/>
      <c r="D1041" s="5"/>
      <c r="E1041" s="3"/>
      <c r="F1041" s="5"/>
      <c r="G1041" s="5"/>
      <c r="H1041" s="5"/>
      <c r="I1041" s="3"/>
      <c r="J1041" s="3"/>
      <c r="K1041" s="3"/>
      <c r="L1041" s="3"/>
      <c r="M1041" s="3"/>
      <c r="N1041" s="3"/>
      <c r="O1041" s="3"/>
      <c r="P1041" s="3"/>
      <c r="Q1041" s="3"/>
      <c r="R1041" s="3"/>
      <c r="S1041" s="3"/>
      <c r="T1041" s="3"/>
      <c r="U1041" s="3"/>
      <c r="V1041" s="3"/>
      <c r="W1041" s="3"/>
      <c r="X1041" s="3"/>
      <c r="Y1041" s="3"/>
    </row>
    <row r="1042">
      <c r="A1042" s="5"/>
      <c r="B1042" s="5"/>
      <c r="C1042" s="5"/>
      <c r="D1042" s="5"/>
      <c r="E1042" s="3"/>
      <c r="F1042" s="5"/>
      <c r="G1042" s="5"/>
      <c r="H1042" s="5"/>
      <c r="I1042" s="3"/>
      <c r="J1042" s="3"/>
      <c r="K1042" s="3"/>
      <c r="L1042" s="3"/>
      <c r="M1042" s="3"/>
      <c r="N1042" s="3"/>
      <c r="O1042" s="3"/>
      <c r="P1042" s="3"/>
      <c r="Q1042" s="3"/>
      <c r="R1042" s="3"/>
      <c r="S1042" s="3"/>
      <c r="T1042" s="3"/>
      <c r="U1042" s="3"/>
      <c r="V1042" s="3"/>
      <c r="W1042" s="3"/>
      <c r="X1042" s="3"/>
      <c r="Y1042" s="3"/>
    </row>
    <row r="1043">
      <c r="A1043" s="5"/>
      <c r="B1043" s="5"/>
      <c r="C1043" s="5"/>
      <c r="D1043" s="5"/>
      <c r="E1043" s="3"/>
      <c r="F1043" s="5"/>
      <c r="G1043" s="5"/>
      <c r="H1043" s="5"/>
      <c r="I1043" s="3"/>
      <c r="J1043" s="3"/>
      <c r="K1043" s="3"/>
      <c r="L1043" s="3"/>
      <c r="M1043" s="3"/>
      <c r="N1043" s="3"/>
      <c r="O1043" s="3"/>
      <c r="P1043" s="3"/>
      <c r="Q1043" s="3"/>
      <c r="R1043" s="3"/>
      <c r="S1043" s="3"/>
      <c r="T1043" s="3"/>
      <c r="U1043" s="3"/>
      <c r="V1043" s="3"/>
      <c r="W1043" s="3"/>
      <c r="X1043" s="3"/>
      <c r="Y1043" s="3"/>
    </row>
    <row r="1044">
      <c r="A1044" s="5"/>
      <c r="B1044" s="5"/>
      <c r="C1044" s="5"/>
      <c r="D1044" s="5"/>
      <c r="E1044" s="3"/>
      <c r="F1044" s="5"/>
      <c r="G1044" s="5"/>
      <c r="H1044" s="5"/>
      <c r="I1044" s="3"/>
      <c r="J1044" s="3"/>
      <c r="K1044" s="3"/>
      <c r="L1044" s="3"/>
      <c r="M1044" s="3"/>
      <c r="N1044" s="3"/>
      <c r="O1044" s="3"/>
      <c r="P1044" s="3"/>
      <c r="Q1044" s="3"/>
      <c r="R1044" s="3"/>
      <c r="S1044" s="3"/>
      <c r="T1044" s="3"/>
      <c r="U1044" s="3"/>
      <c r="V1044" s="3"/>
      <c r="W1044" s="3"/>
      <c r="X1044" s="3"/>
      <c r="Y1044" s="3"/>
    </row>
    <row r="1045">
      <c r="A1045" s="5"/>
      <c r="B1045" s="5"/>
      <c r="C1045" s="5"/>
      <c r="D1045" s="5"/>
      <c r="E1045" s="3"/>
      <c r="F1045" s="5"/>
      <c r="G1045" s="5"/>
      <c r="H1045" s="5"/>
      <c r="I1045" s="3"/>
      <c r="J1045" s="3"/>
      <c r="K1045" s="3"/>
      <c r="L1045" s="3"/>
      <c r="M1045" s="3"/>
      <c r="N1045" s="3"/>
      <c r="O1045" s="3"/>
      <c r="P1045" s="3"/>
      <c r="Q1045" s="3"/>
      <c r="R1045" s="3"/>
      <c r="S1045" s="3"/>
      <c r="T1045" s="3"/>
      <c r="U1045" s="3"/>
      <c r="V1045" s="3"/>
      <c r="W1045" s="3"/>
      <c r="X1045" s="3"/>
      <c r="Y1045" s="3"/>
    </row>
    <row r="1046">
      <c r="A1046" s="5"/>
      <c r="B1046" s="5"/>
      <c r="C1046" s="5"/>
      <c r="D1046" s="5"/>
      <c r="E1046" s="3"/>
      <c r="F1046" s="5"/>
      <c r="G1046" s="5"/>
      <c r="H1046" s="5"/>
      <c r="I1046" s="3"/>
      <c r="J1046" s="3"/>
      <c r="K1046" s="3"/>
      <c r="L1046" s="3"/>
      <c r="M1046" s="3"/>
      <c r="N1046" s="3"/>
      <c r="O1046" s="3"/>
      <c r="P1046" s="3"/>
      <c r="Q1046" s="3"/>
      <c r="R1046" s="3"/>
      <c r="S1046" s="3"/>
      <c r="T1046" s="3"/>
      <c r="U1046" s="3"/>
      <c r="V1046" s="3"/>
      <c r="W1046" s="3"/>
      <c r="X1046" s="3"/>
      <c r="Y1046" s="3"/>
    </row>
    <row r="1047">
      <c r="A1047" s="5"/>
      <c r="B1047" s="5"/>
      <c r="C1047" s="5"/>
      <c r="D1047" s="5"/>
      <c r="E1047" s="3"/>
      <c r="F1047" s="5"/>
      <c r="G1047" s="5"/>
      <c r="H1047" s="5"/>
      <c r="I1047" s="3"/>
      <c r="J1047" s="3"/>
      <c r="K1047" s="3"/>
      <c r="L1047" s="3"/>
      <c r="M1047" s="3"/>
      <c r="N1047" s="3"/>
      <c r="O1047" s="3"/>
      <c r="P1047" s="3"/>
      <c r="Q1047" s="3"/>
      <c r="R1047" s="3"/>
      <c r="S1047" s="3"/>
      <c r="T1047" s="3"/>
      <c r="U1047" s="3"/>
      <c r="V1047" s="3"/>
      <c r="W1047" s="3"/>
      <c r="X1047" s="3"/>
      <c r="Y1047" s="3"/>
    </row>
    <row r="1048">
      <c r="A1048" s="5"/>
      <c r="B1048" s="5"/>
      <c r="C1048" s="5"/>
      <c r="D1048" s="5"/>
      <c r="E1048" s="3"/>
      <c r="F1048" s="5"/>
      <c r="G1048" s="5"/>
      <c r="H1048" s="5"/>
      <c r="I1048" s="3"/>
      <c r="J1048" s="3"/>
      <c r="K1048" s="3"/>
      <c r="L1048" s="3"/>
      <c r="M1048" s="3"/>
      <c r="N1048" s="3"/>
      <c r="O1048" s="3"/>
      <c r="P1048" s="3"/>
      <c r="Q1048" s="3"/>
      <c r="R1048" s="3"/>
      <c r="S1048" s="3"/>
      <c r="T1048" s="3"/>
      <c r="U1048" s="3"/>
      <c r="V1048" s="3"/>
      <c r="W1048" s="3"/>
      <c r="X1048" s="3"/>
      <c r="Y1048" s="3"/>
    </row>
    <row r="1049">
      <c r="A1049" s="5"/>
      <c r="B1049" s="5"/>
      <c r="C1049" s="5"/>
      <c r="D1049" s="5"/>
      <c r="E1049" s="3"/>
      <c r="F1049" s="5"/>
      <c r="G1049" s="5"/>
      <c r="H1049" s="5"/>
      <c r="I1049" s="3"/>
      <c r="J1049" s="3"/>
      <c r="K1049" s="3"/>
      <c r="L1049" s="3"/>
      <c r="M1049" s="3"/>
      <c r="N1049" s="3"/>
      <c r="O1049" s="3"/>
      <c r="P1049" s="3"/>
      <c r="Q1049" s="3"/>
      <c r="R1049" s="3"/>
      <c r="S1049" s="3"/>
      <c r="T1049" s="3"/>
      <c r="U1049" s="3"/>
      <c r="V1049" s="3"/>
      <c r="W1049" s="3"/>
      <c r="X1049" s="3"/>
      <c r="Y1049" s="3"/>
    </row>
    <row r="1050">
      <c r="A1050" s="5"/>
      <c r="B1050" s="5"/>
      <c r="C1050" s="5"/>
      <c r="D1050" s="5"/>
      <c r="E1050" s="3"/>
      <c r="F1050" s="5"/>
      <c r="G1050" s="5"/>
      <c r="H1050" s="5"/>
      <c r="I1050" s="3"/>
      <c r="J1050" s="3"/>
      <c r="K1050" s="3"/>
      <c r="L1050" s="3"/>
      <c r="M1050" s="3"/>
      <c r="N1050" s="3"/>
      <c r="O1050" s="3"/>
      <c r="P1050" s="3"/>
      <c r="Q1050" s="3"/>
      <c r="R1050" s="3"/>
      <c r="S1050" s="3"/>
      <c r="T1050" s="3"/>
      <c r="U1050" s="3"/>
      <c r="V1050" s="3"/>
      <c r="W1050" s="3"/>
      <c r="X1050" s="3"/>
      <c r="Y1050" s="3"/>
    </row>
    <row r="1051">
      <c r="A1051" s="5"/>
      <c r="B1051" s="5"/>
      <c r="C1051" s="5"/>
      <c r="D1051" s="5"/>
      <c r="E1051" s="3"/>
      <c r="F1051" s="5"/>
      <c r="G1051" s="5"/>
      <c r="H1051" s="5"/>
      <c r="I1051" s="3"/>
      <c r="J1051" s="3"/>
      <c r="K1051" s="3"/>
      <c r="L1051" s="3"/>
      <c r="M1051" s="3"/>
      <c r="N1051" s="3"/>
      <c r="O1051" s="3"/>
      <c r="P1051" s="3"/>
      <c r="Q1051" s="3"/>
      <c r="R1051" s="3"/>
      <c r="S1051" s="3"/>
      <c r="T1051" s="3"/>
      <c r="U1051" s="3"/>
      <c r="V1051" s="3"/>
      <c r="W1051" s="3"/>
      <c r="X1051" s="3"/>
      <c r="Y1051" s="3"/>
    </row>
    <row r="1052">
      <c r="A1052" s="5"/>
      <c r="B1052" s="5"/>
      <c r="C1052" s="5"/>
      <c r="D1052" s="5"/>
      <c r="E1052" s="3"/>
      <c r="F1052" s="5"/>
      <c r="G1052" s="5"/>
      <c r="H1052" s="5"/>
      <c r="I1052" s="3"/>
      <c r="J1052" s="3"/>
      <c r="K1052" s="3"/>
      <c r="L1052" s="3"/>
      <c r="M1052" s="3"/>
      <c r="N1052" s="3"/>
      <c r="O1052" s="3"/>
      <c r="P1052" s="3"/>
      <c r="Q1052" s="3"/>
      <c r="R1052" s="3"/>
      <c r="S1052" s="3"/>
      <c r="T1052" s="3"/>
      <c r="U1052" s="3"/>
      <c r="V1052" s="3"/>
      <c r="W1052" s="3"/>
      <c r="X1052" s="3"/>
      <c r="Y1052" s="3"/>
    </row>
    <row r="1053">
      <c r="A1053" s="5"/>
      <c r="B1053" s="5"/>
      <c r="C1053" s="5"/>
      <c r="D1053" s="5"/>
      <c r="E1053" s="3"/>
      <c r="F1053" s="5"/>
      <c r="G1053" s="5"/>
      <c r="H1053" s="5"/>
      <c r="I1053" s="3"/>
      <c r="J1053" s="3"/>
      <c r="K1053" s="3"/>
      <c r="L1053" s="3"/>
      <c r="M1053" s="3"/>
      <c r="N1053" s="3"/>
      <c r="O1053" s="3"/>
      <c r="P1053" s="3"/>
      <c r="Q1053" s="3"/>
      <c r="R1053" s="3"/>
      <c r="S1053" s="3"/>
      <c r="T1053" s="3"/>
      <c r="U1053" s="3"/>
      <c r="V1053" s="3"/>
      <c r="W1053" s="3"/>
      <c r="X1053" s="3"/>
      <c r="Y1053" s="3"/>
    </row>
    <row r="1054">
      <c r="A1054" s="5"/>
      <c r="B1054" s="5"/>
      <c r="C1054" s="5"/>
      <c r="D1054" s="5"/>
      <c r="E1054" s="3"/>
      <c r="F1054" s="5"/>
      <c r="G1054" s="5"/>
      <c r="H1054" s="5"/>
      <c r="I1054" s="3"/>
      <c r="J1054" s="3"/>
      <c r="K1054" s="3"/>
      <c r="L1054" s="3"/>
      <c r="M1054" s="3"/>
      <c r="N1054" s="3"/>
      <c r="O1054" s="3"/>
      <c r="P1054" s="3"/>
      <c r="Q1054" s="3"/>
      <c r="R1054" s="3"/>
      <c r="S1054" s="3"/>
      <c r="T1054" s="3"/>
      <c r="U1054" s="3"/>
      <c r="V1054" s="3"/>
      <c r="W1054" s="3"/>
      <c r="X1054" s="3"/>
      <c r="Y1054" s="3"/>
    </row>
    <row r="1055">
      <c r="A1055" s="5"/>
      <c r="B1055" s="5"/>
      <c r="C1055" s="5"/>
      <c r="D1055" s="5"/>
      <c r="E1055" s="3"/>
      <c r="F1055" s="5"/>
      <c r="G1055" s="5"/>
      <c r="H1055" s="5"/>
      <c r="I1055" s="3"/>
      <c r="J1055" s="3"/>
      <c r="K1055" s="3"/>
      <c r="L1055" s="3"/>
      <c r="M1055" s="3"/>
      <c r="N1055" s="3"/>
      <c r="O1055" s="3"/>
      <c r="P1055" s="3"/>
      <c r="Q1055" s="3"/>
      <c r="R1055" s="3"/>
      <c r="S1055" s="3"/>
      <c r="T1055" s="3"/>
      <c r="U1055" s="3"/>
      <c r="V1055" s="3"/>
      <c r="W1055" s="3"/>
      <c r="X1055" s="3"/>
      <c r="Y1055" s="3"/>
    </row>
    <row r="1056">
      <c r="A1056" s="5"/>
      <c r="B1056" s="5"/>
      <c r="C1056" s="5"/>
      <c r="D1056" s="5"/>
      <c r="E1056" s="3"/>
      <c r="F1056" s="5"/>
      <c r="G1056" s="5"/>
      <c r="H1056" s="5"/>
      <c r="I1056" s="3"/>
      <c r="J1056" s="3"/>
      <c r="K1056" s="3"/>
      <c r="L1056" s="3"/>
      <c r="M1056" s="3"/>
      <c r="N1056" s="3"/>
      <c r="O1056" s="3"/>
      <c r="P1056" s="3"/>
      <c r="Q1056" s="3"/>
      <c r="R1056" s="3"/>
      <c r="S1056" s="3"/>
      <c r="T1056" s="3"/>
      <c r="U1056" s="3"/>
      <c r="V1056" s="3"/>
      <c r="W1056" s="3"/>
      <c r="X1056" s="3"/>
      <c r="Y1056" s="3"/>
    </row>
    <row r="1057">
      <c r="A1057" s="5"/>
      <c r="B1057" s="5"/>
      <c r="C1057" s="5"/>
      <c r="D1057" s="5"/>
      <c r="E1057" s="3"/>
      <c r="F1057" s="5"/>
      <c r="G1057" s="5"/>
      <c r="H1057" s="5"/>
      <c r="I1057" s="3"/>
      <c r="J1057" s="3"/>
      <c r="K1057" s="3"/>
      <c r="L1057" s="3"/>
      <c r="M1057" s="3"/>
      <c r="N1057" s="3"/>
      <c r="O1057" s="3"/>
      <c r="P1057" s="3"/>
      <c r="Q1057" s="3"/>
      <c r="R1057" s="3"/>
      <c r="S1057" s="3"/>
      <c r="T1057" s="3"/>
      <c r="U1057" s="3"/>
      <c r="V1057" s="3"/>
      <c r="W1057" s="3"/>
      <c r="X1057" s="3"/>
      <c r="Y1057" s="3"/>
    </row>
    <row r="1058">
      <c r="A1058" s="5"/>
      <c r="B1058" s="5"/>
      <c r="C1058" s="5"/>
      <c r="D1058" s="5"/>
      <c r="E1058" s="3"/>
      <c r="F1058" s="5"/>
      <c r="G1058" s="5"/>
      <c r="H1058" s="5"/>
      <c r="I1058" s="3"/>
      <c r="J1058" s="3"/>
      <c r="K1058" s="3"/>
      <c r="L1058" s="3"/>
      <c r="M1058" s="3"/>
      <c r="N1058" s="3"/>
      <c r="O1058" s="3"/>
      <c r="P1058" s="3"/>
      <c r="Q1058" s="3"/>
      <c r="R1058" s="3"/>
      <c r="S1058" s="3"/>
      <c r="T1058" s="3"/>
      <c r="U1058" s="3"/>
      <c r="V1058" s="3"/>
      <c r="W1058" s="3"/>
      <c r="X1058" s="3"/>
      <c r="Y1058" s="3"/>
    </row>
    <row r="1059">
      <c r="A1059" s="5"/>
      <c r="B1059" s="5"/>
      <c r="C1059" s="5"/>
      <c r="D1059" s="5"/>
      <c r="E1059" s="3"/>
      <c r="F1059" s="5"/>
      <c r="G1059" s="5"/>
      <c r="H1059" s="5"/>
      <c r="I1059" s="3"/>
      <c r="J1059" s="3"/>
      <c r="K1059" s="3"/>
      <c r="L1059" s="3"/>
      <c r="M1059" s="3"/>
      <c r="N1059" s="3"/>
      <c r="O1059" s="3"/>
      <c r="P1059" s="3"/>
      <c r="Q1059" s="3"/>
      <c r="R1059" s="3"/>
      <c r="S1059" s="3"/>
      <c r="T1059" s="3"/>
      <c r="U1059" s="3"/>
      <c r="V1059" s="3"/>
      <c r="W1059" s="3"/>
      <c r="X1059" s="3"/>
      <c r="Y1059" s="3"/>
    </row>
    <row r="1060">
      <c r="A1060" s="5"/>
      <c r="B1060" s="5"/>
      <c r="C1060" s="5"/>
      <c r="D1060" s="5"/>
      <c r="E1060" s="3"/>
      <c r="F1060" s="5"/>
      <c r="G1060" s="5"/>
      <c r="H1060" s="5"/>
      <c r="I1060" s="3"/>
      <c r="J1060" s="3"/>
      <c r="K1060" s="3"/>
      <c r="L1060" s="3"/>
      <c r="M1060" s="3"/>
      <c r="N1060" s="3"/>
      <c r="O1060" s="3"/>
      <c r="P1060" s="3"/>
      <c r="Q1060" s="3"/>
      <c r="R1060" s="3"/>
      <c r="S1060" s="3"/>
      <c r="T1060" s="3"/>
      <c r="U1060" s="3"/>
      <c r="V1060" s="3"/>
      <c r="W1060" s="3"/>
      <c r="X1060" s="3"/>
      <c r="Y1060" s="3"/>
    </row>
    <row r="1061">
      <c r="A1061" s="5"/>
      <c r="B1061" s="5"/>
      <c r="C1061" s="5"/>
      <c r="D1061" s="5"/>
      <c r="E1061" s="3"/>
      <c r="F1061" s="5"/>
      <c r="G1061" s="5"/>
      <c r="H1061" s="5"/>
      <c r="I1061" s="3"/>
      <c r="J1061" s="3"/>
      <c r="K1061" s="3"/>
      <c r="L1061" s="3"/>
      <c r="M1061" s="3"/>
      <c r="N1061" s="3"/>
      <c r="O1061" s="3"/>
      <c r="P1061" s="3"/>
      <c r="Q1061" s="3"/>
      <c r="R1061" s="3"/>
      <c r="S1061" s="3"/>
      <c r="T1061" s="3"/>
      <c r="U1061" s="3"/>
      <c r="V1061" s="3"/>
      <c r="W1061" s="3"/>
      <c r="X1061" s="3"/>
      <c r="Y1061" s="3"/>
    </row>
    <row r="1062">
      <c r="A1062" s="5"/>
      <c r="B1062" s="5"/>
      <c r="C1062" s="5"/>
      <c r="D1062" s="5"/>
      <c r="E1062" s="3"/>
      <c r="F1062" s="5"/>
      <c r="G1062" s="5"/>
      <c r="H1062" s="5"/>
      <c r="I1062" s="3"/>
      <c r="J1062" s="3"/>
      <c r="K1062" s="3"/>
      <c r="L1062" s="3"/>
      <c r="M1062" s="3"/>
      <c r="N1062" s="3"/>
      <c r="O1062" s="3"/>
      <c r="P1062" s="3"/>
      <c r="Q1062" s="3"/>
      <c r="R1062" s="3"/>
      <c r="S1062" s="3"/>
      <c r="T1062" s="3"/>
      <c r="U1062" s="3"/>
      <c r="V1062" s="3"/>
      <c r="W1062" s="3"/>
      <c r="X1062" s="3"/>
      <c r="Y1062" s="3"/>
    </row>
    <row r="1063">
      <c r="A1063" s="5"/>
      <c r="B1063" s="5"/>
      <c r="C1063" s="5"/>
      <c r="D1063" s="5"/>
      <c r="E1063" s="3"/>
      <c r="F1063" s="5"/>
      <c r="G1063" s="5"/>
      <c r="H1063" s="5"/>
      <c r="I1063" s="3"/>
      <c r="J1063" s="3"/>
      <c r="K1063" s="3"/>
      <c r="L1063" s="3"/>
      <c r="M1063" s="3"/>
      <c r="N1063" s="3"/>
      <c r="O1063" s="3"/>
      <c r="P1063" s="3"/>
      <c r="Q1063" s="3"/>
      <c r="R1063" s="3"/>
      <c r="S1063" s="3"/>
      <c r="T1063" s="3"/>
      <c r="U1063" s="3"/>
      <c r="V1063" s="3"/>
      <c r="W1063" s="3"/>
      <c r="X1063" s="3"/>
      <c r="Y1063" s="3"/>
    </row>
    <row r="1064">
      <c r="A1064" s="5"/>
      <c r="B1064" s="5"/>
      <c r="C1064" s="5"/>
      <c r="D1064" s="5"/>
      <c r="E1064" s="3"/>
      <c r="F1064" s="5"/>
      <c r="G1064" s="5"/>
      <c r="H1064" s="5"/>
      <c r="I1064" s="3"/>
      <c r="J1064" s="3"/>
      <c r="K1064" s="3"/>
      <c r="L1064" s="3"/>
      <c r="M1064" s="3"/>
      <c r="N1064" s="3"/>
      <c r="O1064" s="3"/>
      <c r="P1064" s="3"/>
      <c r="Q1064" s="3"/>
      <c r="R1064" s="3"/>
      <c r="S1064" s="3"/>
      <c r="T1064" s="3"/>
      <c r="U1064" s="3"/>
      <c r="V1064" s="3"/>
      <c r="W1064" s="3"/>
      <c r="X1064" s="3"/>
      <c r="Y1064" s="3"/>
    </row>
    <row r="1065">
      <c r="A1065" s="5"/>
      <c r="B1065" s="5"/>
      <c r="C1065" s="5"/>
      <c r="D1065" s="5"/>
      <c r="E1065" s="3"/>
      <c r="F1065" s="5"/>
      <c r="G1065" s="5"/>
      <c r="H1065" s="5"/>
      <c r="I1065" s="3"/>
      <c r="J1065" s="3"/>
      <c r="K1065" s="3"/>
      <c r="L1065" s="3"/>
      <c r="M1065" s="3"/>
      <c r="N1065" s="3"/>
      <c r="O1065" s="3"/>
      <c r="P1065" s="3"/>
      <c r="Q1065" s="3"/>
      <c r="R1065" s="3"/>
      <c r="S1065" s="3"/>
      <c r="T1065" s="3"/>
      <c r="U1065" s="3"/>
      <c r="V1065" s="3"/>
      <c r="W1065" s="3"/>
      <c r="X1065" s="3"/>
      <c r="Y1065" s="3"/>
    </row>
    <row r="1066">
      <c r="A1066" s="5"/>
      <c r="B1066" s="5"/>
      <c r="C1066" s="5"/>
      <c r="D1066" s="5"/>
      <c r="E1066" s="3"/>
      <c r="F1066" s="5"/>
      <c r="G1066" s="5"/>
      <c r="H1066" s="5"/>
      <c r="I1066" s="3"/>
      <c r="J1066" s="3"/>
      <c r="K1066" s="3"/>
      <c r="L1066" s="3"/>
      <c r="M1066" s="3"/>
      <c r="N1066" s="3"/>
      <c r="O1066" s="3"/>
      <c r="P1066" s="3"/>
      <c r="Q1066" s="3"/>
      <c r="R1066" s="3"/>
      <c r="S1066" s="3"/>
      <c r="T1066" s="3"/>
      <c r="U1066" s="3"/>
      <c r="V1066" s="3"/>
      <c r="W1066" s="3"/>
      <c r="X1066" s="3"/>
      <c r="Y1066" s="3"/>
    </row>
    <row r="1067">
      <c r="A1067" s="5"/>
      <c r="B1067" s="5"/>
      <c r="C1067" s="5"/>
      <c r="D1067" s="5"/>
      <c r="E1067" s="3"/>
      <c r="F1067" s="5"/>
      <c r="G1067" s="5"/>
      <c r="H1067" s="5"/>
      <c r="I1067" s="3"/>
      <c r="J1067" s="3"/>
      <c r="K1067" s="3"/>
      <c r="L1067" s="3"/>
      <c r="M1067" s="3"/>
      <c r="N1067" s="3"/>
      <c r="O1067" s="3"/>
      <c r="P1067" s="3"/>
      <c r="Q1067" s="3"/>
      <c r="R1067" s="3"/>
      <c r="S1067" s="3"/>
      <c r="T1067" s="3"/>
      <c r="U1067" s="3"/>
      <c r="V1067" s="3"/>
      <c r="W1067" s="3"/>
      <c r="X1067" s="3"/>
      <c r="Y1067" s="3"/>
    </row>
    <row r="1068">
      <c r="A1068" s="5"/>
      <c r="B1068" s="5"/>
      <c r="C1068" s="5"/>
      <c r="D1068" s="5"/>
      <c r="E1068" s="3"/>
      <c r="F1068" s="5"/>
      <c r="G1068" s="5"/>
      <c r="H1068" s="5"/>
      <c r="I1068" s="3"/>
      <c r="J1068" s="3"/>
      <c r="K1068" s="3"/>
      <c r="L1068" s="3"/>
      <c r="M1068" s="3"/>
      <c r="N1068" s="3"/>
      <c r="O1068" s="3"/>
      <c r="P1068" s="3"/>
      <c r="Q1068" s="3"/>
      <c r="R1068" s="3"/>
      <c r="S1068" s="3"/>
      <c r="T1068" s="3"/>
      <c r="U1068" s="3"/>
      <c r="V1068" s="3"/>
      <c r="W1068" s="3"/>
      <c r="X1068" s="3"/>
      <c r="Y1068" s="3"/>
    </row>
    <row r="1069">
      <c r="A1069" s="5"/>
      <c r="B1069" s="5"/>
      <c r="C1069" s="5"/>
      <c r="D1069" s="5"/>
      <c r="E1069" s="3"/>
      <c r="F1069" s="5"/>
      <c r="G1069" s="5"/>
      <c r="H1069" s="5"/>
      <c r="I1069" s="3"/>
      <c r="J1069" s="3"/>
      <c r="K1069" s="3"/>
      <c r="L1069" s="3"/>
      <c r="M1069" s="3"/>
      <c r="N1069" s="3"/>
      <c r="O1069" s="3"/>
      <c r="P1069" s="3"/>
      <c r="Q1069" s="3"/>
      <c r="R1069" s="3"/>
      <c r="S1069" s="3"/>
      <c r="T1069" s="3"/>
      <c r="U1069" s="3"/>
      <c r="V1069" s="3"/>
      <c r="W1069" s="3"/>
      <c r="X1069" s="3"/>
      <c r="Y1069" s="3"/>
    </row>
    <row r="1070">
      <c r="A1070" s="5"/>
      <c r="B1070" s="5"/>
      <c r="C1070" s="5"/>
      <c r="D1070" s="5"/>
      <c r="E1070" s="3"/>
      <c r="F1070" s="5"/>
      <c r="G1070" s="5"/>
      <c r="H1070" s="5"/>
      <c r="I1070" s="3"/>
      <c r="J1070" s="3"/>
      <c r="K1070" s="3"/>
      <c r="L1070" s="3"/>
      <c r="M1070" s="3"/>
      <c r="N1070" s="3"/>
      <c r="O1070" s="3"/>
      <c r="P1070" s="3"/>
      <c r="Q1070" s="3"/>
      <c r="R1070" s="3"/>
      <c r="S1070" s="3"/>
      <c r="T1070" s="3"/>
      <c r="U1070" s="3"/>
      <c r="V1070" s="3"/>
      <c r="W1070" s="3"/>
      <c r="X1070" s="3"/>
      <c r="Y1070" s="3"/>
    </row>
    <row r="1071">
      <c r="A1071" s="5"/>
      <c r="B1071" s="5"/>
      <c r="C1071" s="5"/>
      <c r="D1071" s="5"/>
      <c r="E1071" s="3"/>
      <c r="F1071" s="5"/>
      <c r="G1071" s="5"/>
      <c r="H1071" s="5"/>
      <c r="I1071" s="3"/>
      <c r="J1071" s="3"/>
      <c r="K1071" s="3"/>
      <c r="L1071" s="3"/>
      <c r="M1071" s="3"/>
      <c r="N1071" s="3"/>
      <c r="O1071" s="3"/>
      <c r="P1071" s="3"/>
      <c r="Q1071" s="3"/>
      <c r="R1071" s="3"/>
      <c r="S1071" s="3"/>
      <c r="T1071" s="3"/>
      <c r="U1071" s="3"/>
      <c r="V1071" s="3"/>
      <c r="W1071" s="3"/>
      <c r="X1071" s="3"/>
      <c r="Y1071" s="3"/>
    </row>
    <row r="1072">
      <c r="A1072" s="5"/>
      <c r="B1072" s="5"/>
      <c r="C1072" s="5"/>
      <c r="D1072" s="5"/>
      <c r="E1072" s="3"/>
      <c r="F1072" s="5"/>
      <c r="G1072" s="5"/>
      <c r="H1072" s="5"/>
      <c r="I1072" s="3"/>
      <c r="J1072" s="3"/>
      <c r="K1072" s="3"/>
      <c r="L1072" s="3"/>
      <c r="M1072" s="3"/>
      <c r="N1072" s="3"/>
      <c r="O1072" s="3"/>
      <c r="P1072" s="3"/>
      <c r="Q1072" s="3"/>
      <c r="R1072" s="3"/>
      <c r="S1072" s="3"/>
      <c r="T1072" s="3"/>
      <c r="U1072" s="3"/>
      <c r="V1072" s="3"/>
      <c r="W1072" s="3"/>
      <c r="X1072" s="3"/>
      <c r="Y1072" s="3"/>
    </row>
    <row r="1073">
      <c r="A1073" s="5"/>
      <c r="B1073" s="5"/>
      <c r="C1073" s="5"/>
      <c r="D1073" s="5"/>
      <c r="E1073" s="3"/>
      <c r="F1073" s="5"/>
      <c r="G1073" s="5"/>
      <c r="H1073" s="5"/>
      <c r="I1073" s="3"/>
      <c r="J1073" s="3"/>
      <c r="K1073" s="3"/>
      <c r="L1073" s="3"/>
      <c r="M1073" s="3"/>
      <c r="N1073" s="3"/>
      <c r="O1073" s="3"/>
      <c r="P1073" s="3"/>
      <c r="Q1073" s="3"/>
      <c r="R1073" s="3"/>
      <c r="S1073" s="3"/>
      <c r="T1073" s="3"/>
      <c r="U1073" s="3"/>
      <c r="V1073" s="3"/>
      <c r="W1073" s="3"/>
      <c r="X1073" s="3"/>
      <c r="Y1073" s="3"/>
    </row>
    <row r="1074">
      <c r="A1074" s="5"/>
      <c r="B1074" s="5"/>
      <c r="C1074" s="5"/>
      <c r="D1074" s="5"/>
      <c r="E1074" s="3"/>
      <c r="F1074" s="5"/>
      <c r="G1074" s="5"/>
      <c r="H1074" s="5"/>
      <c r="I1074" s="3"/>
      <c r="J1074" s="3"/>
      <c r="K1074" s="3"/>
      <c r="L1074" s="3"/>
      <c r="M1074" s="3"/>
      <c r="N1074" s="3"/>
      <c r="O1074" s="3"/>
      <c r="P1074" s="3"/>
      <c r="Q1074" s="3"/>
      <c r="R1074" s="3"/>
      <c r="S1074" s="3"/>
      <c r="T1074" s="3"/>
      <c r="U1074" s="3"/>
      <c r="V1074" s="3"/>
      <c r="W1074" s="3"/>
      <c r="X1074" s="3"/>
      <c r="Y1074" s="3"/>
    </row>
    <row r="1075">
      <c r="A1075" s="5"/>
      <c r="B1075" s="5"/>
      <c r="C1075" s="5"/>
      <c r="D1075" s="5"/>
      <c r="E1075" s="3"/>
      <c r="F1075" s="5"/>
      <c r="G1075" s="5"/>
      <c r="H1075" s="5"/>
      <c r="I1075" s="3"/>
      <c r="J1075" s="3"/>
      <c r="K1075" s="3"/>
      <c r="L1075" s="3"/>
      <c r="M1075" s="3"/>
      <c r="N1075" s="3"/>
      <c r="O1075" s="3"/>
      <c r="P1075" s="3"/>
      <c r="Q1075" s="3"/>
      <c r="R1075" s="3"/>
      <c r="S1075" s="3"/>
      <c r="T1075" s="3"/>
      <c r="U1075" s="3"/>
      <c r="V1075" s="3"/>
      <c r="W1075" s="3"/>
      <c r="X1075" s="3"/>
      <c r="Y1075" s="3"/>
    </row>
    <row r="1076">
      <c r="A1076" s="5"/>
      <c r="B1076" s="5"/>
      <c r="C1076" s="5"/>
      <c r="D1076" s="5"/>
      <c r="E1076" s="3"/>
      <c r="F1076" s="5"/>
      <c r="G1076" s="5"/>
      <c r="H1076" s="5"/>
      <c r="I1076" s="3"/>
      <c r="J1076" s="3"/>
      <c r="K1076" s="3"/>
      <c r="L1076" s="3"/>
      <c r="M1076" s="3"/>
      <c r="N1076" s="3"/>
      <c r="O1076" s="3"/>
      <c r="P1076" s="3"/>
      <c r="Q1076" s="3"/>
      <c r="R1076" s="3"/>
      <c r="S1076" s="3"/>
      <c r="T1076" s="3"/>
      <c r="U1076" s="3"/>
      <c r="V1076" s="3"/>
      <c r="W1076" s="3"/>
      <c r="X1076" s="3"/>
      <c r="Y1076" s="3"/>
    </row>
    <row r="1077">
      <c r="A1077" s="5"/>
      <c r="B1077" s="5"/>
      <c r="C1077" s="5"/>
      <c r="D1077" s="5"/>
      <c r="E1077" s="3"/>
      <c r="F1077" s="5"/>
      <c r="G1077" s="5"/>
      <c r="H1077" s="5"/>
      <c r="I1077" s="3"/>
      <c r="J1077" s="3"/>
      <c r="K1077" s="3"/>
      <c r="L1077" s="3"/>
      <c r="M1077" s="3"/>
      <c r="N1077" s="3"/>
      <c r="O1077" s="3"/>
      <c r="P1077" s="3"/>
      <c r="Q1077" s="3"/>
      <c r="R1077" s="3"/>
      <c r="S1077" s="3"/>
      <c r="T1077" s="3"/>
      <c r="U1077" s="3"/>
      <c r="V1077" s="3"/>
      <c r="W1077" s="3"/>
      <c r="X1077" s="3"/>
      <c r="Y1077" s="3"/>
    </row>
    <row r="1078">
      <c r="A1078" s="5"/>
      <c r="B1078" s="5"/>
      <c r="C1078" s="5"/>
      <c r="D1078" s="5"/>
      <c r="E1078" s="3"/>
      <c r="F1078" s="5"/>
      <c r="G1078" s="5"/>
      <c r="H1078" s="5"/>
      <c r="I1078" s="3"/>
      <c r="J1078" s="3"/>
      <c r="K1078" s="3"/>
      <c r="L1078" s="3"/>
      <c r="M1078" s="3"/>
      <c r="N1078" s="3"/>
      <c r="O1078" s="3"/>
      <c r="P1078" s="3"/>
      <c r="Q1078" s="3"/>
      <c r="R1078" s="3"/>
      <c r="S1078" s="3"/>
      <c r="T1078" s="3"/>
      <c r="U1078" s="3"/>
      <c r="V1078" s="3"/>
      <c r="W1078" s="3"/>
      <c r="X1078" s="3"/>
      <c r="Y1078" s="3"/>
    </row>
    <row r="1079">
      <c r="A1079" s="5"/>
      <c r="B1079" s="5"/>
      <c r="C1079" s="5"/>
      <c r="D1079" s="5"/>
      <c r="E1079" s="3"/>
      <c r="F1079" s="5"/>
      <c r="G1079" s="5"/>
      <c r="H1079" s="5"/>
      <c r="I1079" s="3"/>
      <c r="J1079" s="3"/>
      <c r="K1079" s="3"/>
      <c r="L1079" s="3"/>
      <c r="M1079" s="3"/>
      <c r="N1079" s="3"/>
      <c r="O1079" s="3"/>
      <c r="P1079" s="3"/>
      <c r="Q1079" s="3"/>
      <c r="R1079" s="3"/>
      <c r="S1079" s="3"/>
      <c r="T1079" s="3"/>
      <c r="U1079" s="3"/>
      <c r="V1079" s="3"/>
      <c r="W1079" s="3"/>
      <c r="X1079" s="3"/>
      <c r="Y1079" s="3"/>
    </row>
    <row r="1080">
      <c r="A1080" s="5"/>
      <c r="B1080" s="5"/>
      <c r="C1080" s="5"/>
      <c r="D1080" s="5"/>
      <c r="E1080" s="3"/>
      <c r="F1080" s="5"/>
      <c r="G1080" s="5"/>
      <c r="H1080" s="5"/>
      <c r="I1080" s="3"/>
      <c r="J1080" s="3"/>
      <c r="K1080" s="3"/>
      <c r="L1080" s="3"/>
      <c r="M1080" s="3"/>
      <c r="N1080" s="3"/>
      <c r="O1080" s="3"/>
      <c r="P1080" s="3"/>
      <c r="Q1080" s="3"/>
      <c r="R1080" s="3"/>
      <c r="S1080" s="3"/>
      <c r="T1080" s="3"/>
      <c r="U1080" s="3"/>
      <c r="V1080" s="3"/>
      <c r="W1080" s="3"/>
      <c r="X1080" s="3"/>
      <c r="Y1080" s="3"/>
    </row>
    <row r="1081">
      <c r="A1081" s="5"/>
      <c r="B1081" s="5"/>
      <c r="C1081" s="5"/>
      <c r="D1081" s="5"/>
      <c r="E1081" s="3"/>
      <c r="F1081" s="5"/>
      <c r="G1081" s="5"/>
      <c r="H1081" s="5"/>
      <c r="I1081" s="3"/>
      <c r="J1081" s="3"/>
      <c r="K1081" s="3"/>
      <c r="L1081" s="3"/>
      <c r="M1081" s="3"/>
      <c r="N1081" s="3"/>
      <c r="O1081" s="3"/>
      <c r="P1081" s="3"/>
      <c r="Q1081" s="3"/>
      <c r="R1081" s="3"/>
      <c r="S1081" s="3"/>
      <c r="T1081" s="3"/>
      <c r="U1081" s="3"/>
      <c r="V1081" s="3"/>
      <c r="W1081" s="3"/>
      <c r="X1081" s="3"/>
      <c r="Y1081" s="3"/>
    </row>
    <row r="1082">
      <c r="A1082" s="5"/>
      <c r="B1082" s="5"/>
      <c r="C1082" s="5"/>
      <c r="D1082" s="5"/>
      <c r="E1082" s="3"/>
      <c r="F1082" s="5"/>
      <c r="G1082" s="5"/>
      <c r="H1082" s="5"/>
      <c r="I1082" s="3"/>
      <c r="J1082" s="3"/>
      <c r="K1082" s="3"/>
      <c r="L1082" s="3"/>
      <c r="M1082" s="3"/>
      <c r="N1082" s="3"/>
      <c r="O1082" s="3"/>
      <c r="P1082" s="3"/>
      <c r="Q1082" s="3"/>
      <c r="R1082" s="3"/>
      <c r="S1082" s="3"/>
      <c r="T1082" s="3"/>
      <c r="U1082" s="3"/>
      <c r="V1082" s="3"/>
      <c r="W1082" s="3"/>
      <c r="X1082" s="3"/>
      <c r="Y1082" s="3"/>
    </row>
    <row r="1083">
      <c r="A1083" s="5"/>
      <c r="B1083" s="5"/>
      <c r="C1083" s="5"/>
      <c r="D1083" s="5"/>
      <c r="E1083" s="3"/>
      <c r="F1083" s="5"/>
      <c r="G1083" s="5"/>
      <c r="H1083" s="5"/>
      <c r="I1083" s="3"/>
      <c r="J1083" s="3"/>
      <c r="K1083" s="3"/>
      <c r="L1083" s="3"/>
      <c r="M1083" s="3"/>
      <c r="N1083" s="3"/>
      <c r="O1083" s="3"/>
      <c r="P1083" s="3"/>
      <c r="Q1083" s="3"/>
      <c r="R1083" s="3"/>
      <c r="S1083" s="3"/>
      <c r="T1083" s="3"/>
      <c r="U1083" s="3"/>
      <c r="V1083" s="3"/>
      <c r="W1083" s="3"/>
      <c r="X1083" s="3"/>
      <c r="Y1083" s="3"/>
    </row>
    <row r="1084">
      <c r="A1084" s="5"/>
      <c r="B1084" s="5"/>
      <c r="C1084" s="5"/>
      <c r="D1084" s="5"/>
      <c r="E1084" s="3"/>
      <c r="F1084" s="5"/>
      <c r="G1084" s="5"/>
      <c r="H1084" s="5"/>
      <c r="I1084" s="3"/>
      <c r="J1084" s="3"/>
      <c r="K1084" s="3"/>
      <c r="L1084" s="3"/>
      <c r="M1084" s="3"/>
      <c r="N1084" s="3"/>
      <c r="O1084" s="3"/>
      <c r="P1084" s="3"/>
      <c r="Q1084" s="3"/>
      <c r="R1084" s="3"/>
      <c r="S1084" s="3"/>
      <c r="T1084" s="3"/>
      <c r="U1084" s="3"/>
      <c r="V1084" s="3"/>
      <c r="W1084" s="3"/>
      <c r="X1084" s="3"/>
      <c r="Y1084" s="3"/>
    </row>
    <row r="1085">
      <c r="A1085" s="5"/>
      <c r="B1085" s="5"/>
      <c r="C1085" s="5"/>
      <c r="D1085" s="5"/>
      <c r="E1085" s="3"/>
      <c r="F1085" s="5"/>
      <c r="G1085" s="5"/>
      <c r="H1085" s="5"/>
      <c r="I1085" s="3"/>
      <c r="J1085" s="3"/>
      <c r="K1085" s="3"/>
      <c r="L1085" s="3"/>
      <c r="M1085" s="3"/>
      <c r="N1085" s="3"/>
      <c r="O1085" s="3"/>
      <c r="P1085" s="3"/>
      <c r="Q1085" s="3"/>
      <c r="R1085" s="3"/>
      <c r="S1085" s="3"/>
      <c r="T1085" s="3"/>
      <c r="U1085" s="3"/>
      <c r="V1085" s="3"/>
      <c r="W1085" s="3"/>
      <c r="X1085" s="3"/>
      <c r="Y1085" s="3"/>
    </row>
    <row r="1086">
      <c r="A1086" s="5"/>
      <c r="B1086" s="5"/>
      <c r="C1086" s="5"/>
      <c r="D1086" s="5"/>
      <c r="E1086" s="3"/>
      <c r="F1086" s="5"/>
      <c r="G1086" s="5"/>
      <c r="H1086" s="5"/>
      <c r="I1086" s="3"/>
      <c r="J1086" s="3"/>
      <c r="K1086" s="3"/>
      <c r="L1086" s="3"/>
      <c r="M1086" s="3"/>
      <c r="N1086" s="3"/>
      <c r="O1086" s="3"/>
      <c r="P1086" s="3"/>
      <c r="Q1086" s="3"/>
      <c r="R1086" s="3"/>
      <c r="S1086" s="3"/>
      <c r="T1086" s="3"/>
      <c r="U1086" s="3"/>
      <c r="V1086" s="3"/>
      <c r="W1086" s="3"/>
      <c r="X1086" s="3"/>
      <c r="Y1086" s="3"/>
    </row>
    <row r="1087">
      <c r="A1087" s="5"/>
      <c r="B1087" s="5"/>
      <c r="C1087" s="5"/>
      <c r="D1087" s="5"/>
      <c r="E1087" s="3"/>
      <c r="F1087" s="5"/>
      <c r="G1087" s="5"/>
      <c r="H1087" s="5"/>
      <c r="I1087" s="3"/>
      <c r="J1087" s="3"/>
      <c r="K1087" s="3"/>
      <c r="L1087" s="3"/>
      <c r="M1087" s="3"/>
      <c r="N1087" s="3"/>
      <c r="O1087" s="3"/>
      <c r="P1087" s="3"/>
      <c r="Q1087" s="3"/>
      <c r="R1087" s="3"/>
      <c r="S1087" s="3"/>
      <c r="T1087" s="3"/>
      <c r="U1087" s="3"/>
      <c r="V1087" s="3"/>
      <c r="W1087" s="3"/>
      <c r="X1087" s="3"/>
      <c r="Y1087" s="3"/>
    </row>
    <row r="1088">
      <c r="A1088" s="5"/>
      <c r="B1088" s="5"/>
      <c r="C1088" s="5"/>
      <c r="D1088" s="5"/>
      <c r="E1088" s="3"/>
      <c r="F1088" s="5"/>
      <c r="G1088" s="5"/>
      <c r="H1088" s="5"/>
      <c r="I1088" s="3"/>
      <c r="J1088" s="3"/>
      <c r="K1088" s="3"/>
      <c r="L1088" s="3"/>
      <c r="M1088" s="3"/>
      <c r="N1088" s="3"/>
      <c r="O1088" s="3"/>
      <c r="P1088" s="3"/>
      <c r="Q1088" s="3"/>
      <c r="R1088" s="3"/>
      <c r="S1088" s="3"/>
      <c r="T1088" s="3"/>
      <c r="U1088" s="3"/>
      <c r="V1088" s="3"/>
      <c r="W1088" s="3"/>
      <c r="X1088" s="3"/>
      <c r="Y1088" s="3"/>
    </row>
    <row r="1089">
      <c r="A1089" s="5"/>
      <c r="B1089" s="5"/>
      <c r="C1089" s="5"/>
      <c r="D1089" s="5"/>
      <c r="E1089" s="3"/>
      <c r="F1089" s="5"/>
      <c r="G1089" s="5"/>
      <c r="H1089" s="5"/>
      <c r="I1089" s="3"/>
      <c r="J1089" s="3"/>
      <c r="K1089" s="3"/>
      <c r="L1089" s="3"/>
      <c r="M1089" s="3"/>
      <c r="N1089" s="3"/>
      <c r="O1089" s="3"/>
      <c r="P1089" s="3"/>
      <c r="Q1089" s="3"/>
      <c r="R1089" s="3"/>
      <c r="S1089" s="3"/>
      <c r="T1089" s="3"/>
      <c r="U1089" s="3"/>
      <c r="V1089" s="3"/>
      <c r="W1089" s="3"/>
      <c r="X1089" s="3"/>
      <c r="Y1089" s="3"/>
    </row>
    <row r="1090">
      <c r="A1090" s="5"/>
      <c r="B1090" s="5"/>
      <c r="C1090" s="5"/>
      <c r="D1090" s="5"/>
      <c r="E1090" s="3"/>
      <c r="F1090" s="5"/>
      <c r="G1090" s="5"/>
      <c r="H1090" s="5"/>
      <c r="I1090" s="3"/>
      <c r="J1090" s="3"/>
      <c r="K1090" s="3"/>
      <c r="L1090" s="3"/>
      <c r="M1090" s="3"/>
      <c r="N1090" s="3"/>
      <c r="O1090" s="3"/>
      <c r="P1090" s="3"/>
      <c r="Q1090" s="3"/>
      <c r="R1090" s="3"/>
      <c r="S1090" s="3"/>
      <c r="T1090" s="3"/>
      <c r="U1090" s="3"/>
      <c r="V1090" s="3"/>
      <c r="W1090" s="3"/>
      <c r="X1090" s="3"/>
      <c r="Y1090" s="3"/>
    </row>
    <row r="1091">
      <c r="A1091" s="5"/>
      <c r="B1091" s="5"/>
      <c r="C1091" s="5"/>
      <c r="D1091" s="5"/>
      <c r="E1091" s="3"/>
      <c r="F1091" s="5"/>
      <c r="G1091" s="5"/>
      <c r="H1091" s="5"/>
      <c r="I1091" s="3"/>
      <c r="J1091" s="3"/>
      <c r="K1091" s="3"/>
      <c r="L1091" s="3"/>
      <c r="M1091" s="3"/>
      <c r="N1091" s="3"/>
      <c r="O1091" s="3"/>
      <c r="P1091" s="3"/>
      <c r="Q1091" s="3"/>
      <c r="R1091" s="3"/>
      <c r="S1091" s="3"/>
      <c r="T1091" s="3"/>
      <c r="U1091" s="3"/>
      <c r="V1091" s="3"/>
      <c r="W1091" s="3"/>
      <c r="X1091" s="3"/>
      <c r="Y1091" s="3"/>
    </row>
    <row r="1092">
      <c r="A1092" s="5"/>
      <c r="B1092" s="5"/>
      <c r="C1092" s="5"/>
      <c r="D1092" s="5"/>
      <c r="E1092" s="3"/>
      <c r="F1092" s="5"/>
      <c r="G1092" s="5"/>
      <c r="H1092" s="5"/>
      <c r="I1092" s="3"/>
      <c r="J1092" s="3"/>
      <c r="K1092" s="3"/>
      <c r="L1092" s="3"/>
      <c r="M1092" s="3"/>
      <c r="N1092" s="3"/>
      <c r="O1092" s="3"/>
      <c r="P1092" s="3"/>
      <c r="Q1092" s="3"/>
      <c r="R1092" s="3"/>
      <c r="S1092" s="3"/>
      <c r="T1092" s="3"/>
      <c r="U1092" s="3"/>
      <c r="V1092" s="3"/>
      <c r="W1092" s="3"/>
      <c r="X1092" s="3"/>
      <c r="Y1092" s="3"/>
    </row>
    <row r="1093">
      <c r="A1093" s="5"/>
      <c r="B1093" s="5"/>
      <c r="C1093" s="5"/>
      <c r="D1093" s="5"/>
      <c r="E1093" s="3"/>
      <c r="F1093" s="5"/>
      <c r="G1093" s="5"/>
      <c r="H1093" s="5"/>
      <c r="I1093" s="3"/>
      <c r="J1093" s="3"/>
      <c r="K1093" s="3"/>
      <c r="L1093" s="3"/>
      <c r="M1093" s="3"/>
      <c r="N1093" s="3"/>
      <c r="O1093" s="3"/>
      <c r="P1093" s="3"/>
      <c r="Q1093" s="3"/>
      <c r="R1093" s="3"/>
      <c r="S1093" s="3"/>
      <c r="T1093" s="3"/>
      <c r="U1093" s="3"/>
      <c r="V1093" s="3"/>
      <c r="W1093" s="3"/>
      <c r="X1093" s="3"/>
      <c r="Y1093" s="3"/>
    </row>
    <row r="1094">
      <c r="A1094" s="5"/>
      <c r="B1094" s="5"/>
      <c r="C1094" s="5"/>
      <c r="D1094" s="5"/>
      <c r="E1094" s="3"/>
      <c r="F1094" s="5"/>
      <c r="G1094" s="5"/>
      <c r="H1094" s="5"/>
      <c r="I1094" s="3"/>
      <c r="J1094" s="3"/>
      <c r="K1094" s="3"/>
      <c r="L1094" s="3"/>
      <c r="M1094" s="3"/>
      <c r="N1094" s="3"/>
      <c r="O1094" s="3"/>
      <c r="P1094" s="3"/>
      <c r="Q1094" s="3"/>
      <c r="R1094" s="3"/>
      <c r="S1094" s="3"/>
      <c r="T1094" s="3"/>
      <c r="U1094" s="3"/>
      <c r="V1094" s="3"/>
      <c r="W1094" s="3"/>
      <c r="X1094" s="3"/>
      <c r="Y1094" s="3"/>
    </row>
    <row r="1095">
      <c r="A1095" s="5"/>
      <c r="B1095" s="5"/>
      <c r="C1095" s="5"/>
      <c r="D1095" s="5"/>
      <c r="E1095" s="3"/>
      <c r="F1095" s="5"/>
      <c r="G1095" s="5"/>
      <c r="H1095" s="5"/>
      <c r="I1095" s="3"/>
      <c r="J1095" s="3"/>
      <c r="K1095" s="3"/>
      <c r="L1095" s="3"/>
      <c r="M1095" s="3"/>
      <c r="N1095" s="3"/>
      <c r="O1095" s="3"/>
      <c r="P1095" s="3"/>
      <c r="Q1095" s="3"/>
      <c r="R1095" s="3"/>
      <c r="S1095" s="3"/>
      <c r="T1095" s="3"/>
      <c r="U1095" s="3"/>
      <c r="V1095" s="3"/>
      <c r="W1095" s="3"/>
      <c r="X1095" s="3"/>
      <c r="Y1095" s="3"/>
    </row>
    <row r="1096">
      <c r="A1096" s="5"/>
      <c r="B1096" s="5"/>
      <c r="C1096" s="5"/>
      <c r="D1096" s="5"/>
      <c r="E1096" s="3"/>
      <c r="F1096" s="5"/>
      <c r="G1096" s="5"/>
      <c r="H1096" s="5"/>
      <c r="I1096" s="3"/>
      <c r="J1096" s="3"/>
      <c r="K1096" s="3"/>
      <c r="L1096" s="3"/>
      <c r="M1096" s="3"/>
      <c r="N1096" s="3"/>
      <c r="O1096" s="3"/>
      <c r="P1096" s="3"/>
      <c r="Q1096" s="3"/>
      <c r="R1096" s="3"/>
      <c r="S1096" s="3"/>
      <c r="T1096" s="3"/>
      <c r="U1096" s="3"/>
      <c r="V1096" s="3"/>
      <c r="W1096" s="3"/>
      <c r="X1096" s="3"/>
      <c r="Y1096" s="3"/>
    </row>
    <row r="1097">
      <c r="A1097" s="5"/>
      <c r="B1097" s="5"/>
      <c r="C1097" s="5"/>
      <c r="D1097" s="5"/>
      <c r="E1097" s="3"/>
      <c r="F1097" s="5"/>
      <c r="G1097" s="5"/>
      <c r="H1097" s="5"/>
      <c r="I1097" s="3"/>
      <c r="J1097" s="3"/>
      <c r="K1097" s="3"/>
      <c r="L1097" s="3"/>
      <c r="M1097" s="3"/>
      <c r="N1097" s="3"/>
      <c r="O1097" s="3"/>
      <c r="P1097" s="3"/>
      <c r="Q1097" s="3"/>
      <c r="R1097" s="3"/>
      <c r="S1097" s="3"/>
      <c r="T1097" s="3"/>
      <c r="U1097" s="3"/>
      <c r="V1097" s="3"/>
      <c r="W1097" s="3"/>
      <c r="X1097" s="3"/>
      <c r="Y1097" s="3"/>
    </row>
    <row r="1098">
      <c r="A1098" s="5"/>
      <c r="B1098" s="5"/>
      <c r="C1098" s="5"/>
      <c r="D1098" s="5"/>
      <c r="E1098" s="3"/>
      <c r="F1098" s="5"/>
      <c r="G1098" s="5"/>
      <c r="H1098" s="5"/>
      <c r="I1098" s="3"/>
      <c r="J1098" s="3"/>
      <c r="K1098" s="3"/>
      <c r="L1098" s="3"/>
      <c r="M1098" s="3"/>
      <c r="N1098" s="3"/>
      <c r="O1098" s="3"/>
      <c r="P1098" s="3"/>
      <c r="Q1098" s="3"/>
      <c r="R1098" s="3"/>
      <c r="S1098" s="3"/>
      <c r="T1098" s="3"/>
      <c r="U1098" s="3"/>
      <c r="V1098" s="3"/>
      <c r="W1098" s="3"/>
      <c r="X1098" s="3"/>
      <c r="Y1098" s="3"/>
    </row>
    <row r="1099">
      <c r="A1099" s="5"/>
      <c r="B1099" s="5"/>
      <c r="C1099" s="5"/>
      <c r="D1099" s="5"/>
      <c r="E1099" s="3"/>
      <c r="F1099" s="5"/>
      <c r="G1099" s="5"/>
      <c r="H1099" s="5"/>
      <c r="I1099" s="3"/>
      <c r="J1099" s="3"/>
      <c r="K1099" s="3"/>
      <c r="L1099" s="3"/>
      <c r="M1099" s="3"/>
      <c r="N1099" s="3"/>
      <c r="O1099" s="3"/>
      <c r="P1099" s="3"/>
      <c r="Q1099" s="3"/>
      <c r="R1099" s="3"/>
      <c r="S1099" s="3"/>
      <c r="T1099" s="3"/>
      <c r="U1099" s="3"/>
      <c r="V1099" s="3"/>
      <c r="W1099" s="3"/>
      <c r="X1099" s="3"/>
      <c r="Y1099" s="3"/>
    </row>
    <row r="1100">
      <c r="A1100" s="5"/>
      <c r="B1100" s="5"/>
      <c r="C1100" s="5"/>
      <c r="D1100" s="5"/>
      <c r="E1100" s="3"/>
      <c r="F1100" s="5"/>
      <c r="G1100" s="5"/>
      <c r="H1100" s="5"/>
      <c r="I1100" s="3"/>
      <c r="J1100" s="3"/>
      <c r="K1100" s="3"/>
      <c r="L1100" s="3"/>
      <c r="M1100" s="3"/>
      <c r="N1100" s="3"/>
      <c r="O1100" s="3"/>
      <c r="P1100" s="3"/>
      <c r="Q1100" s="3"/>
      <c r="R1100" s="3"/>
      <c r="S1100" s="3"/>
      <c r="T1100" s="3"/>
      <c r="U1100" s="3"/>
      <c r="V1100" s="3"/>
      <c r="W1100" s="3"/>
      <c r="X1100" s="3"/>
      <c r="Y1100" s="3"/>
    </row>
    <row r="1101">
      <c r="A1101" s="5"/>
      <c r="B1101" s="5"/>
      <c r="C1101" s="5"/>
      <c r="D1101" s="5"/>
      <c r="E1101" s="3"/>
      <c r="F1101" s="5"/>
      <c r="G1101" s="5"/>
      <c r="H1101" s="5"/>
      <c r="I1101" s="3"/>
      <c r="J1101" s="3"/>
      <c r="K1101" s="3"/>
      <c r="L1101" s="3"/>
      <c r="M1101" s="3"/>
      <c r="N1101" s="3"/>
      <c r="O1101" s="3"/>
      <c r="P1101" s="3"/>
      <c r="Q1101" s="3"/>
      <c r="R1101" s="3"/>
      <c r="S1101" s="3"/>
      <c r="T1101" s="3"/>
      <c r="U1101" s="3"/>
      <c r="V1101" s="3"/>
      <c r="W1101" s="3"/>
      <c r="X1101" s="3"/>
      <c r="Y1101" s="3"/>
    </row>
    <row r="1102">
      <c r="A1102" s="5"/>
      <c r="B1102" s="5"/>
      <c r="C1102" s="5"/>
      <c r="D1102" s="5"/>
      <c r="E1102" s="3"/>
      <c r="F1102" s="5"/>
      <c r="G1102" s="5"/>
      <c r="H1102" s="5"/>
      <c r="I1102" s="3"/>
      <c r="J1102" s="3"/>
      <c r="K1102" s="3"/>
      <c r="L1102" s="3"/>
      <c r="M1102" s="3"/>
      <c r="N1102" s="3"/>
      <c r="O1102" s="3"/>
      <c r="P1102" s="3"/>
      <c r="Q1102" s="3"/>
      <c r="R1102" s="3"/>
      <c r="S1102" s="3"/>
      <c r="T1102" s="3"/>
      <c r="U1102" s="3"/>
      <c r="V1102" s="3"/>
      <c r="W1102" s="3"/>
      <c r="X1102" s="3"/>
      <c r="Y1102" s="3"/>
    </row>
    <row r="1103">
      <c r="A1103" s="5"/>
      <c r="B1103" s="5"/>
      <c r="C1103" s="5"/>
      <c r="D1103" s="5"/>
      <c r="E1103" s="3"/>
      <c r="F1103" s="5"/>
      <c r="G1103" s="5"/>
      <c r="H1103" s="5"/>
      <c r="I1103" s="3"/>
      <c r="J1103" s="3"/>
      <c r="K1103" s="3"/>
      <c r="L1103" s="3"/>
      <c r="M1103" s="3"/>
      <c r="N1103" s="3"/>
      <c r="O1103" s="3"/>
      <c r="P1103" s="3"/>
      <c r="Q1103" s="3"/>
      <c r="R1103" s="3"/>
      <c r="S1103" s="3"/>
      <c r="T1103" s="3"/>
      <c r="U1103" s="3"/>
      <c r="V1103" s="3"/>
      <c r="W1103" s="3"/>
      <c r="X1103" s="3"/>
      <c r="Y1103" s="3"/>
    </row>
    <row r="1104">
      <c r="A1104" s="5"/>
      <c r="B1104" s="5"/>
      <c r="C1104" s="5"/>
      <c r="D1104" s="5"/>
      <c r="E1104" s="3"/>
      <c r="F1104" s="5"/>
      <c r="G1104" s="5"/>
      <c r="H1104" s="5"/>
      <c r="I1104" s="3"/>
      <c r="J1104" s="3"/>
      <c r="K1104" s="3"/>
      <c r="L1104" s="3"/>
      <c r="M1104" s="3"/>
      <c r="N1104" s="3"/>
      <c r="O1104" s="3"/>
      <c r="P1104" s="3"/>
      <c r="Q1104" s="3"/>
      <c r="R1104" s="3"/>
      <c r="S1104" s="3"/>
      <c r="T1104" s="3"/>
      <c r="U1104" s="3"/>
      <c r="V1104" s="3"/>
      <c r="W1104" s="3"/>
      <c r="X1104" s="3"/>
      <c r="Y1104" s="3"/>
    </row>
    <row r="1105">
      <c r="A1105" s="5"/>
      <c r="B1105" s="5"/>
      <c r="C1105" s="5"/>
      <c r="D1105" s="5"/>
      <c r="E1105" s="3"/>
      <c r="F1105" s="5"/>
      <c r="G1105" s="5"/>
      <c r="H1105" s="5"/>
      <c r="I1105" s="3"/>
      <c r="J1105" s="3"/>
      <c r="K1105" s="3"/>
      <c r="L1105" s="3"/>
      <c r="M1105" s="3"/>
      <c r="N1105" s="3"/>
      <c r="O1105" s="3"/>
      <c r="P1105" s="3"/>
      <c r="Q1105" s="3"/>
      <c r="R1105" s="3"/>
      <c r="S1105" s="3"/>
      <c r="T1105" s="3"/>
      <c r="U1105" s="3"/>
      <c r="V1105" s="3"/>
      <c r="W1105" s="3"/>
      <c r="X1105" s="3"/>
      <c r="Y1105" s="3"/>
    </row>
    <row r="1106">
      <c r="A1106" s="5"/>
      <c r="B1106" s="5"/>
      <c r="C1106" s="5"/>
      <c r="D1106" s="5"/>
      <c r="E1106" s="3"/>
      <c r="F1106" s="5"/>
      <c r="G1106" s="5"/>
      <c r="H1106" s="5"/>
      <c r="I1106" s="3"/>
      <c r="J1106" s="3"/>
      <c r="K1106" s="3"/>
      <c r="L1106" s="3"/>
      <c r="M1106" s="3"/>
      <c r="N1106" s="3"/>
      <c r="O1106" s="3"/>
      <c r="P1106" s="3"/>
      <c r="Q1106" s="3"/>
      <c r="R1106" s="3"/>
      <c r="S1106" s="3"/>
      <c r="T1106" s="3"/>
      <c r="U1106" s="3"/>
      <c r="V1106" s="3"/>
      <c r="W1106" s="3"/>
      <c r="X1106" s="3"/>
      <c r="Y1106" s="3"/>
    </row>
    <row r="1107">
      <c r="A1107" s="5"/>
      <c r="B1107" s="5"/>
      <c r="C1107" s="5"/>
      <c r="D1107" s="5"/>
      <c r="E1107" s="3"/>
      <c r="F1107" s="5"/>
      <c r="G1107" s="5"/>
      <c r="H1107" s="5"/>
      <c r="I1107" s="3"/>
      <c r="J1107" s="3"/>
      <c r="K1107" s="3"/>
      <c r="L1107" s="3"/>
      <c r="M1107" s="3"/>
      <c r="N1107" s="3"/>
      <c r="O1107" s="3"/>
      <c r="P1107" s="3"/>
      <c r="Q1107" s="3"/>
      <c r="R1107" s="3"/>
      <c r="S1107" s="3"/>
      <c r="T1107" s="3"/>
      <c r="U1107" s="3"/>
      <c r="V1107" s="3"/>
      <c r="W1107" s="3"/>
      <c r="X1107" s="3"/>
      <c r="Y1107" s="3"/>
    </row>
    <row r="1108">
      <c r="A1108" s="5"/>
      <c r="B1108" s="5"/>
      <c r="C1108" s="5"/>
      <c r="D1108" s="5"/>
      <c r="E1108" s="3"/>
      <c r="F1108" s="5"/>
      <c r="G1108" s="5"/>
      <c r="H1108" s="5"/>
      <c r="I1108" s="3"/>
      <c r="J1108" s="3"/>
      <c r="K1108" s="3"/>
      <c r="L1108" s="3"/>
      <c r="M1108" s="3"/>
      <c r="N1108" s="3"/>
      <c r="O1108" s="3"/>
      <c r="P1108" s="3"/>
      <c r="Q1108" s="3"/>
      <c r="R1108" s="3"/>
      <c r="S1108" s="3"/>
      <c r="T1108" s="3"/>
      <c r="U1108" s="3"/>
      <c r="V1108" s="3"/>
      <c r="W1108" s="3"/>
      <c r="X1108" s="3"/>
      <c r="Y1108" s="3"/>
    </row>
    <row r="1109">
      <c r="A1109" s="5"/>
      <c r="B1109" s="5"/>
      <c r="C1109" s="5"/>
      <c r="D1109" s="5"/>
      <c r="E1109" s="3"/>
      <c r="F1109" s="5"/>
      <c r="G1109" s="5"/>
      <c r="H1109" s="5"/>
      <c r="I1109" s="3"/>
      <c r="J1109" s="3"/>
      <c r="K1109" s="3"/>
      <c r="L1109" s="3"/>
      <c r="M1109" s="3"/>
      <c r="N1109" s="3"/>
      <c r="O1109" s="3"/>
      <c r="P1109" s="3"/>
      <c r="Q1109" s="3"/>
      <c r="R1109" s="3"/>
      <c r="S1109" s="3"/>
      <c r="T1109" s="3"/>
      <c r="U1109" s="3"/>
      <c r="V1109" s="3"/>
      <c r="W1109" s="3"/>
      <c r="X1109" s="3"/>
      <c r="Y1109" s="3"/>
    </row>
    <row r="1110">
      <c r="A1110" s="5"/>
      <c r="B1110" s="5"/>
      <c r="C1110" s="5"/>
      <c r="D1110" s="5"/>
      <c r="E1110" s="3"/>
      <c r="F1110" s="5"/>
      <c r="G1110" s="5"/>
      <c r="H1110" s="5"/>
      <c r="I1110" s="3"/>
      <c r="J1110" s="3"/>
      <c r="K1110" s="3"/>
      <c r="L1110" s="3"/>
      <c r="M1110" s="3"/>
      <c r="N1110" s="3"/>
      <c r="O1110" s="3"/>
      <c r="P1110" s="3"/>
      <c r="Q1110" s="3"/>
      <c r="R1110" s="3"/>
      <c r="S1110" s="3"/>
      <c r="T1110" s="3"/>
      <c r="U1110" s="3"/>
      <c r="V1110" s="3"/>
      <c r="W1110" s="3"/>
      <c r="X1110" s="3"/>
      <c r="Y1110" s="3"/>
    </row>
    <row r="1111">
      <c r="A1111" s="5"/>
      <c r="B1111" s="5"/>
      <c r="C1111" s="5"/>
      <c r="D1111" s="5"/>
      <c r="E1111" s="3"/>
      <c r="F1111" s="5"/>
      <c r="G1111" s="5"/>
      <c r="H1111" s="5"/>
      <c r="I1111" s="3"/>
      <c r="J1111" s="3"/>
      <c r="K1111" s="3"/>
      <c r="L1111" s="3"/>
      <c r="M1111" s="3"/>
      <c r="N1111" s="3"/>
      <c r="O1111" s="3"/>
      <c r="P1111" s="3"/>
      <c r="Q1111" s="3"/>
      <c r="R1111" s="3"/>
      <c r="S1111" s="3"/>
      <c r="T1111" s="3"/>
      <c r="U1111" s="3"/>
      <c r="V1111" s="3"/>
      <c r="W1111" s="3"/>
      <c r="X1111" s="3"/>
      <c r="Y1111" s="3"/>
    </row>
    <row r="1112">
      <c r="A1112" s="5"/>
      <c r="B1112" s="5"/>
      <c r="C1112" s="5"/>
      <c r="D1112" s="5"/>
      <c r="E1112" s="3"/>
      <c r="F1112" s="5"/>
      <c r="G1112" s="5"/>
      <c r="H1112" s="5"/>
      <c r="I1112" s="3"/>
      <c r="J1112" s="3"/>
      <c r="K1112" s="3"/>
      <c r="L1112" s="3"/>
      <c r="M1112" s="3"/>
      <c r="N1112" s="3"/>
      <c r="O1112" s="3"/>
      <c r="P1112" s="3"/>
      <c r="Q1112" s="3"/>
      <c r="R1112" s="3"/>
      <c r="S1112" s="3"/>
      <c r="T1112" s="3"/>
      <c r="U1112" s="3"/>
      <c r="V1112" s="3"/>
      <c r="W1112" s="3"/>
      <c r="X1112" s="3"/>
      <c r="Y1112" s="3"/>
    </row>
    <row r="1113">
      <c r="A1113" s="5"/>
      <c r="B1113" s="5"/>
      <c r="C1113" s="5"/>
      <c r="D1113" s="5"/>
      <c r="E1113" s="3"/>
      <c r="F1113" s="5"/>
      <c r="G1113" s="5"/>
      <c r="H1113" s="5"/>
      <c r="I1113" s="3"/>
      <c r="J1113" s="3"/>
      <c r="K1113" s="3"/>
      <c r="L1113" s="3"/>
      <c r="M1113" s="3"/>
      <c r="N1113" s="3"/>
      <c r="O1113" s="3"/>
      <c r="P1113" s="3"/>
      <c r="Q1113" s="3"/>
      <c r="R1113" s="3"/>
      <c r="S1113" s="3"/>
      <c r="T1113" s="3"/>
      <c r="U1113" s="3"/>
      <c r="V1113" s="3"/>
      <c r="W1113" s="3"/>
      <c r="X1113" s="3"/>
      <c r="Y1113" s="3"/>
    </row>
    <row r="1114">
      <c r="A1114" s="5"/>
      <c r="B1114" s="5"/>
      <c r="C1114" s="5"/>
      <c r="D1114" s="5"/>
      <c r="E1114" s="3"/>
      <c r="F1114" s="5"/>
      <c r="G1114" s="5"/>
      <c r="H1114" s="5"/>
      <c r="I1114" s="3"/>
      <c r="J1114" s="3"/>
      <c r="K1114" s="3"/>
      <c r="L1114" s="3"/>
      <c r="M1114" s="3"/>
      <c r="N1114" s="3"/>
      <c r="O1114" s="3"/>
      <c r="P1114" s="3"/>
      <c r="Q1114" s="3"/>
      <c r="R1114" s="3"/>
      <c r="S1114" s="3"/>
      <c r="T1114" s="3"/>
      <c r="U1114" s="3"/>
      <c r="V1114" s="3"/>
      <c r="W1114" s="3"/>
      <c r="X1114" s="3"/>
      <c r="Y1114" s="3"/>
    </row>
    <row r="1115">
      <c r="A1115" s="5"/>
      <c r="B1115" s="5"/>
      <c r="C1115" s="5"/>
      <c r="D1115" s="5"/>
      <c r="E1115" s="3"/>
      <c r="F1115" s="5"/>
      <c r="G1115" s="5"/>
      <c r="H1115" s="5"/>
      <c r="I1115" s="3"/>
      <c r="J1115" s="3"/>
      <c r="K1115" s="3"/>
      <c r="L1115" s="3"/>
      <c r="M1115" s="3"/>
      <c r="N1115" s="3"/>
      <c r="O1115" s="3"/>
      <c r="P1115" s="3"/>
      <c r="Q1115" s="3"/>
      <c r="R1115" s="3"/>
      <c r="S1115" s="3"/>
      <c r="T1115" s="3"/>
      <c r="U1115" s="3"/>
      <c r="V1115" s="3"/>
      <c r="W1115" s="3"/>
      <c r="X1115" s="3"/>
      <c r="Y1115" s="3"/>
    </row>
    <row r="1116">
      <c r="A1116" s="5"/>
      <c r="B1116" s="5"/>
      <c r="C1116" s="5"/>
      <c r="D1116" s="5"/>
      <c r="E1116" s="3"/>
      <c r="F1116" s="5"/>
      <c r="G1116" s="5"/>
      <c r="H1116" s="5"/>
      <c r="I1116" s="3"/>
      <c r="J1116" s="3"/>
      <c r="K1116" s="3"/>
      <c r="L1116" s="3"/>
      <c r="M1116" s="3"/>
      <c r="N1116" s="3"/>
      <c r="O1116" s="3"/>
      <c r="P1116" s="3"/>
      <c r="Q1116" s="3"/>
      <c r="R1116" s="3"/>
      <c r="S1116" s="3"/>
      <c r="T1116" s="3"/>
      <c r="U1116" s="3"/>
      <c r="V1116" s="3"/>
      <c r="W1116" s="3"/>
      <c r="X1116" s="3"/>
      <c r="Y1116" s="3"/>
    </row>
    <row r="1117">
      <c r="A1117" s="5"/>
      <c r="B1117" s="5"/>
      <c r="C1117" s="5"/>
      <c r="D1117" s="5"/>
      <c r="E1117" s="3"/>
      <c r="F1117" s="5"/>
      <c r="G1117" s="5"/>
      <c r="H1117" s="5"/>
      <c r="I1117" s="3"/>
      <c r="J1117" s="3"/>
      <c r="K1117" s="3"/>
      <c r="L1117" s="3"/>
      <c r="M1117" s="3"/>
      <c r="N1117" s="3"/>
      <c r="O1117" s="3"/>
      <c r="P1117" s="3"/>
      <c r="Q1117" s="3"/>
      <c r="R1117" s="3"/>
      <c r="S1117" s="3"/>
      <c r="T1117" s="3"/>
      <c r="U1117" s="3"/>
      <c r="V1117" s="3"/>
      <c r="W1117" s="3"/>
      <c r="X1117" s="3"/>
      <c r="Y1117" s="3"/>
    </row>
    <row r="1118">
      <c r="A1118" s="5"/>
      <c r="B1118" s="5"/>
      <c r="C1118" s="5"/>
      <c r="D1118" s="5"/>
      <c r="E1118" s="3"/>
      <c r="F1118" s="5"/>
      <c r="G1118" s="5"/>
      <c r="H1118" s="5"/>
      <c r="I1118" s="3"/>
      <c r="J1118" s="3"/>
      <c r="K1118" s="3"/>
      <c r="L1118" s="3"/>
      <c r="M1118" s="3"/>
      <c r="N1118" s="3"/>
      <c r="O1118" s="3"/>
      <c r="P1118" s="3"/>
      <c r="Q1118" s="3"/>
      <c r="R1118" s="3"/>
      <c r="S1118" s="3"/>
      <c r="T1118" s="3"/>
      <c r="U1118" s="3"/>
      <c r="V1118" s="3"/>
      <c r="W1118" s="3"/>
      <c r="X1118" s="3"/>
      <c r="Y1118" s="3"/>
    </row>
    <row r="1119">
      <c r="A1119" s="5"/>
      <c r="B1119" s="5"/>
      <c r="C1119" s="5"/>
      <c r="D1119" s="5"/>
      <c r="E1119" s="3"/>
      <c r="F1119" s="5"/>
      <c r="G1119" s="5"/>
      <c r="H1119" s="5"/>
      <c r="I1119" s="3"/>
      <c r="J1119" s="3"/>
      <c r="K1119" s="3"/>
      <c r="L1119" s="3"/>
      <c r="M1119" s="3"/>
      <c r="N1119" s="3"/>
      <c r="O1119" s="3"/>
      <c r="P1119" s="3"/>
      <c r="Q1119" s="3"/>
      <c r="R1119" s="3"/>
      <c r="S1119" s="3"/>
      <c r="T1119" s="3"/>
      <c r="U1119" s="3"/>
      <c r="V1119" s="3"/>
      <c r="W1119" s="3"/>
      <c r="X1119" s="3"/>
      <c r="Y1119" s="3"/>
    </row>
    <row r="1120">
      <c r="A1120" s="5"/>
      <c r="B1120" s="5"/>
      <c r="C1120" s="5"/>
      <c r="D1120" s="5"/>
      <c r="E1120" s="3"/>
      <c r="F1120" s="5"/>
      <c r="G1120" s="5"/>
      <c r="H1120" s="5"/>
      <c r="I1120" s="3"/>
      <c r="J1120" s="3"/>
      <c r="K1120" s="3"/>
      <c r="L1120" s="3"/>
      <c r="M1120" s="3"/>
      <c r="N1120" s="3"/>
      <c r="O1120" s="3"/>
      <c r="P1120" s="3"/>
      <c r="Q1120" s="3"/>
      <c r="R1120" s="3"/>
      <c r="S1120" s="3"/>
      <c r="T1120" s="3"/>
      <c r="U1120" s="3"/>
      <c r="V1120" s="3"/>
      <c r="W1120" s="3"/>
      <c r="X1120" s="3"/>
      <c r="Y1120" s="3"/>
    </row>
    <row r="1121">
      <c r="A1121" s="5"/>
      <c r="B1121" s="5"/>
      <c r="C1121" s="5"/>
      <c r="D1121" s="5"/>
      <c r="E1121" s="3"/>
      <c r="F1121" s="5"/>
      <c r="G1121" s="5"/>
      <c r="H1121" s="5"/>
      <c r="I1121" s="3"/>
      <c r="J1121" s="3"/>
      <c r="K1121" s="3"/>
      <c r="L1121" s="3"/>
      <c r="M1121" s="3"/>
      <c r="N1121" s="3"/>
      <c r="O1121" s="3"/>
      <c r="P1121" s="3"/>
      <c r="Q1121" s="3"/>
      <c r="R1121" s="3"/>
      <c r="S1121" s="3"/>
      <c r="T1121" s="3"/>
      <c r="U1121" s="3"/>
      <c r="V1121" s="3"/>
      <c r="W1121" s="3"/>
      <c r="X1121" s="3"/>
      <c r="Y1121" s="3"/>
    </row>
    <row r="1122">
      <c r="A1122" s="5"/>
      <c r="B1122" s="5"/>
      <c r="C1122" s="5"/>
      <c r="D1122" s="5"/>
      <c r="E1122" s="3"/>
      <c r="F1122" s="5"/>
      <c r="G1122" s="5"/>
      <c r="H1122" s="5"/>
      <c r="I1122" s="3"/>
      <c r="J1122" s="3"/>
      <c r="K1122" s="3"/>
      <c r="L1122" s="3"/>
      <c r="M1122" s="3"/>
      <c r="N1122" s="3"/>
      <c r="O1122" s="3"/>
      <c r="P1122" s="3"/>
      <c r="Q1122" s="3"/>
      <c r="R1122" s="3"/>
      <c r="S1122" s="3"/>
      <c r="T1122" s="3"/>
      <c r="U1122" s="3"/>
      <c r="V1122" s="3"/>
      <c r="W1122" s="3"/>
      <c r="X1122" s="3"/>
      <c r="Y1122" s="3"/>
    </row>
    <row r="1123">
      <c r="A1123" s="5"/>
      <c r="B1123" s="5"/>
      <c r="C1123" s="5"/>
      <c r="D1123" s="5"/>
      <c r="E1123" s="3"/>
      <c r="F1123" s="5"/>
      <c r="G1123" s="5"/>
      <c r="H1123" s="5"/>
      <c r="I1123" s="3"/>
      <c r="J1123" s="3"/>
      <c r="K1123" s="3"/>
      <c r="L1123" s="3"/>
      <c r="M1123" s="3"/>
      <c r="N1123" s="3"/>
      <c r="O1123" s="3"/>
      <c r="P1123" s="3"/>
      <c r="Q1123" s="3"/>
      <c r="R1123" s="3"/>
      <c r="S1123" s="3"/>
      <c r="T1123" s="3"/>
      <c r="U1123" s="3"/>
      <c r="V1123" s="3"/>
      <c r="W1123" s="3"/>
      <c r="X1123" s="3"/>
      <c r="Y1123" s="3"/>
    </row>
    <row r="1124">
      <c r="A1124" s="5"/>
      <c r="B1124" s="5"/>
      <c r="C1124" s="5"/>
      <c r="D1124" s="5"/>
      <c r="E1124" s="3"/>
      <c r="F1124" s="5"/>
      <c r="G1124" s="5"/>
      <c r="H1124" s="5"/>
      <c r="I1124" s="3"/>
      <c r="J1124" s="3"/>
      <c r="K1124" s="3"/>
      <c r="L1124" s="3"/>
      <c r="M1124" s="3"/>
      <c r="N1124" s="3"/>
      <c r="O1124" s="3"/>
      <c r="P1124" s="3"/>
      <c r="Q1124" s="3"/>
      <c r="R1124" s="3"/>
      <c r="S1124" s="3"/>
      <c r="T1124" s="3"/>
      <c r="U1124" s="3"/>
      <c r="V1124" s="3"/>
      <c r="W1124" s="3"/>
      <c r="X1124" s="3"/>
      <c r="Y1124" s="3"/>
    </row>
    <row r="1125">
      <c r="A1125" s="5"/>
      <c r="B1125" s="5"/>
      <c r="C1125" s="5"/>
      <c r="D1125" s="5"/>
      <c r="E1125" s="3"/>
      <c r="F1125" s="5"/>
      <c r="G1125" s="5"/>
      <c r="H1125" s="5"/>
      <c r="I1125" s="3"/>
      <c r="J1125" s="3"/>
      <c r="K1125" s="3"/>
      <c r="L1125" s="3"/>
      <c r="M1125" s="3"/>
      <c r="N1125" s="3"/>
      <c r="O1125" s="3"/>
      <c r="P1125" s="3"/>
      <c r="Q1125" s="3"/>
      <c r="R1125" s="3"/>
      <c r="S1125" s="3"/>
      <c r="T1125" s="3"/>
      <c r="U1125" s="3"/>
      <c r="V1125" s="3"/>
      <c r="W1125" s="3"/>
      <c r="X1125" s="3"/>
      <c r="Y1125" s="3"/>
    </row>
    <row r="1126">
      <c r="A1126" s="5"/>
      <c r="B1126" s="5"/>
      <c r="C1126" s="5"/>
      <c r="D1126" s="5"/>
      <c r="E1126" s="3"/>
      <c r="F1126" s="5"/>
      <c r="G1126" s="5"/>
      <c r="H1126" s="5"/>
      <c r="I1126" s="3"/>
      <c r="J1126" s="3"/>
      <c r="K1126" s="3"/>
      <c r="L1126" s="3"/>
      <c r="M1126" s="3"/>
      <c r="N1126" s="3"/>
      <c r="O1126" s="3"/>
      <c r="P1126" s="3"/>
      <c r="Q1126" s="3"/>
      <c r="R1126" s="3"/>
      <c r="S1126" s="3"/>
      <c r="T1126" s="3"/>
      <c r="U1126" s="3"/>
      <c r="V1126" s="3"/>
      <c r="W1126" s="3"/>
      <c r="X1126" s="3"/>
      <c r="Y1126" s="3"/>
    </row>
    <row r="1127">
      <c r="A1127" s="5"/>
      <c r="B1127" s="5"/>
      <c r="C1127" s="5"/>
      <c r="D1127" s="5"/>
      <c r="E1127" s="3"/>
      <c r="F1127" s="5"/>
      <c r="G1127" s="5"/>
      <c r="H1127" s="5"/>
      <c r="I1127" s="3"/>
      <c r="J1127" s="3"/>
      <c r="K1127" s="3"/>
      <c r="L1127" s="3"/>
      <c r="M1127" s="3"/>
      <c r="N1127" s="3"/>
      <c r="O1127" s="3"/>
      <c r="P1127" s="3"/>
      <c r="Q1127" s="3"/>
      <c r="R1127" s="3"/>
      <c r="S1127" s="3"/>
      <c r="T1127" s="3"/>
      <c r="U1127" s="3"/>
      <c r="V1127" s="3"/>
      <c r="W1127" s="3"/>
      <c r="X1127" s="3"/>
      <c r="Y1127" s="3"/>
    </row>
    <row r="1128">
      <c r="A1128" s="5"/>
      <c r="B1128" s="5"/>
      <c r="C1128" s="5"/>
      <c r="D1128" s="5"/>
      <c r="E1128" s="3"/>
      <c r="F1128" s="5"/>
      <c r="G1128" s="5"/>
      <c r="H1128" s="5"/>
      <c r="I1128" s="3"/>
      <c r="J1128" s="3"/>
      <c r="K1128" s="3"/>
      <c r="L1128" s="3"/>
      <c r="M1128" s="3"/>
      <c r="N1128" s="3"/>
      <c r="O1128" s="3"/>
      <c r="P1128" s="3"/>
      <c r="Q1128" s="3"/>
      <c r="R1128" s="3"/>
      <c r="S1128" s="3"/>
      <c r="T1128" s="3"/>
      <c r="U1128" s="3"/>
      <c r="V1128" s="3"/>
      <c r="W1128" s="3"/>
      <c r="X1128" s="3"/>
      <c r="Y1128" s="3"/>
    </row>
    <row r="1129">
      <c r="A1129" s="5"/>
      <c r="B1129" s="5"/>
      <c r="C1129" s="5"/>
      <c r="D1129" s="5"/>
      <c r="E1129" s="3"/>
      <c r="F1129" s="5"/>
      <c r="G1129" s="5"/>
      <c r="H1129" s="5"/>
      <c r="I1129" s="3"/>
      <c r="J1129" s="3"/>
      <c r="K1129" s="3"/>
      <c r="L1129" s="3"/>
      <c r="M1129" s="3"/>
      <c r="N1129" s="3"/>
      <c r="O1129" s="3"/>
      <c r="P1129" s="3"/>
      <c r="Q1129" s="3"/>
      <c r="R1129" s="3"/>
      <c r="S1129" s="3"/>
      <c r="T1129" s="3"/>
      <c r="U1129" s="3"/>
      <c r="V1129" s="3"/>
      <c r="W1129" s="3"/>
      <c r="X1129" s="3"/>
      <c r="Y1129" s="3"/>
    </row>
    <row r="1130">
      <c r="A1130" s="5"/>
      <c r="B1130" s="5"/>
      <c r="C1130" s="5"/>
      <c r="D1130" s="5"/>
      <c r="E1130" s="3"/>
      <c r="F1130" s="5"/>
      <c r="G1130" s="5"/>
      <c r="H1130" s="5"/>
      <c r="I1130" s="3"/>
      <c r="J1130" s="3"/>
      <c r="K1130" s="3"/>
      <c r="L1130" s="3"/>
      <c r="M1130" s="3"/>
      <c r="N1130" s="3"/>
      <c r="O1130" s="3"/>
      <c r="P1130" s="3"/>
      <c r="Q1130" s="3"/>
      <c r="R1130" s="3"/>
      <c r="S1130" s="3"/>
      <c r="T1130" s="3"/>
      <c r="U1130" s="3"/>
      <c r="V1130" s="3"/>
      <c r="W1130" s="3"/>
      <c r="X1130" s="3"/>
      <c r="Y1130" s="3"/>
    </row>
    <row r="1131">
      <c r="A1131" s="5"/>
      <c r="B1131" s="5"/>
      <c r="C1131" s="5"/>
      <c r="D1131" s="5"/>
      <c r="E1131" s="3"/>
      <c r="F1131" s="5"/>
      <c r="G1131" s="5"/>
      <c r="H1131" s="5"/>
      <c r="I1131" s="3"/>
      <c r="J1131" s="3"/>
      <c r="K1131" s="3"/>
      <c r="L1131" s="3"/>
      <c r="M1131" s="3"/>
      <c r="N1131" s="3"/>
      <c r="O1131" s="3"/>
      <c r="P1131" s="3"/>
      <c r="Q1131" s="3"/>
      <c r="R1131" s="3"/>
      <c r="S1131" s="3"/>
      <c r="T1131" s="3"/>
      <c r="U1131" s="3"/>
      <c r="V1131" s="3"/>
      <c r="W1131" s="3"/>
      <c r="X1131" s="3"/>
      <c r="Y1131" s="3"/>
    </row>
    <row r="1132">
      <c r="A1132" s="5"/>
      <c r="B1132" s="5"/>
      <c r="C1132" s="5"/>
      <c r="D1132" s="5"/>
      <c r="E1132" s="3"/>
      <c r="F1132" s="5"/>
      <c r="G1132" s="5"/>
      <c r="H1132" s="5"/>
      <c r="I1132" s="3"/>
      <c r="J1132" s="3"/>
      <c r="K1132" s="3"/>
      <c r="L1132" s="3"/>
      <c r="M1132" s="3"/>
      <c r="N1132" s="3"/>
      <c r="O1132" s="3"/>
      <c r="P1132" s="3"/>
      <c r="Q1132" s="3"/>
      <c r="R1132" s="3"/>
      <c r="S1132" s="3"/>
      <c r="T1132" s="3"/>
      <c r="U1132" s="3"/>
      <c r="V1132" s="3"/>
      <c r="W1132" s="3"/>
      <c r="X1132" s="3"/>
      <c r="Y1132" s="3"/>
    </row>
    <row r="1133">
      <c r="A1133" s="5"/>
      <c r="B1133" s="5"/>
      <c r="C1133" s="5"/>
      <c r="D1133" s="5"/>
      <c r="E1133" s="3"/>
      <c r="F1133" s="5"/>
      <c r="G1133" s="5"/>
      <c r="H1133" s="5"/>
      <c r="I1133" s="3"/>
      <c r="J1133" s="3"/>
      <c r="K1133" s="3"/>
      <c r="L1133" s="3"/>
      <c r="M1133" s="3"/>
      <c r="N1133" s="3"/>
      <c r="O1133" s="3"/>
      <c r="P1133" s="3"/>
      <c r="Q1133" s="3"/>
      <c r="R1133" s="3"/>
      <c r="S1133" s="3"/>
      <c r="T1133" s="3"/>
      <c r="U1133" s="3"/>
      <c r="V1133" s="3"/>
      <c r="W1133" s="3"/>
      <c r="X1133" s="3"/>
      <c r="Y1133" s="3"/>
    </row>
    <row r="1134">
      <c r="A1134" s="5"/>
      <c r="B1134" s="5"/>
      <c r="C1134" s="5"/>
      <c r="D1134" s="5"/>
      <c r="E1134" s="3"/>
      <c r="F1134" s="5"/>
      <c r="G1134" s="5"/>
      <c r="H1134" s="5"/>
      <c r="I1134" s="3"/>
      <c r="J1134" s="3"/>
      <c r="K1134" s="3"/>
      <c r="L1134" s="3"/>
      <c r="M1134" s="3"/>
      <c r="N1134" s="3"/>
      <c r="O1134" s="3"/>
      <c r="P1134" s="3"/>
      <c r="Q1134" s="3"/>
      <c r="R1134" s="3"/>
      <c r="S1134" s="3"/>
      <c r="T1134" s="3"/>
      <c r="U1134" s="3"/>
      <c r="V1134" s="3"/>
      <c r="W1134" s="3"/>
      <c r="X1134" s="3"/>
      <c r="Y1134" s="3"/>
    </row>
    <row r="1135">
      <c r="A1135" s="5"/>
      <c r="B1135" s="5"/>
      <c r="C1135" s="5"/>
      <c r="D1135" s="5"/>
      <c r="E1135" s="3"/>
      <c r="F1135" s="5"/>
      <c r="G1135" s="5"/>
      <c r="H1135" s="5"/>
      <c r="I1135" s="3"/>
      <c r="J1135" s="3"/>
      <c r="K1135" s="3"/>
      <c r="L1135" s="3"/>
      <c r="M1135" s="3"/>
      <c r="N1135" s="3"/>
      <c r="O1135" s="3"/>
      <c r="P1135" s="3"/>
      <c r="Q1135" s="3"/>
      <c r="R1135" s="3"/>
      <c r="S1135" s="3"/>
      <c r="T1135" s="3"/>
      <c r="U1135" s="3"/>
      <c r="V1135" s="3"/>
      <c r="W1135" s="3"/>
      <c r="X1135" s="3"/>
      <c r="Y1135" s="3"/>
    </row>
    <row r="1136">
      <c r="A1136" s="5"/>
      <c r="B1136" s="5"/>
      <c r="C1136" s="5"/>
      <c r="D1136" s="5"/>
      <c r="E1136" s="3"/>
      <c r="F1136" s="5"/>
      <c r="G1136" s="5"/>
      <c r="H1136" s="5"/>
      <c r="I1136" s="3"/>
      <c r="J1136" s="3"/>
      <c r="K1136" s="3"/>
      <c r="L1136" s="3"/>
      <c r="M1136" s="3"/>
      <c r="N1136" s="3"/>
      <c r="O1136" s="3"/>
      <c r="P1136" s="3"/>
      <c r="Q1136" s="3"/>
      <c r="R1136" s="3"/>
      <c r="S1136" s="3"/>
      <c r="T1136" s="3"/>
      <c r="U1136" s="3"/>
      <c r="V1136" s="3"/>
      <c r="W1136" s="3"/>
      <c r="X1136" s="3"/>
      <c r="Y1136" s="3"/>
    </row>
    <row r="1137">
      <c r="A1137" s="5"/>
      <c r="B1137" s="5"/>
      <c r="C1137" s="5"/>
      <c r="D1137" s="5"/>
      <c r="E1137" s="3"/>
      <c r="F1137" s="5"/>
      <c r="G1137" s="5"/>
      <c r="H1137" s="5"/>
      <c r="I1137" s="3"/>
      <c r="J1137" s="3"/>
      <c r="K1137" s="3"/>
      <c r="L1137" s="3"/>
      <c r="M1137" s="3"/>
      <c r="N1137" s="3"/>
      <c r="O1137" s="3"/>
      <c r="P1137" s="3"/>
      <c r="Q1137" s="3"/>
      <c r="R1137" s="3"/>
      <c r="S1137" s="3"/>
      <c r="T1137" s="3"/>
      <c r="U1137" s="3"/>
      <c r="V1137" s="3"/>
      <c r="W1137" s="3"/>
      <c r="X1137" s="3"/>
      <c r="Y1137" s="3"/>
    </row>
    <row r="1138">
      <c r="A1138" s="5"/>
      <c r="B1138" s="5"/>
      <c r="C1138" s="5"/>
      <c r="D1138" s="5"/>
      <c r="E1138" s="3"/>
      <c r="F1138" s="5"/>
      <c r="G1138" s="5"/>
      <c r="H1138" s="5"/>
      <c r="I1138" s="3"/>
      <c r="J1138" s="3"/>
      <c r="K1138" s="3"/>
      <c r="L1138" s="3"/>
      <c r="M1138" s="3"/>
      <c r="N1138" s="3"/>
      <c r="O1138" s="3"/>
      <c r="P1138" s="3"/>
      <c r="Q1138" s="3"/>
      <c r="R1138" s="3"/>
      <c r="S1138" s="3"/>
      <c r="T1138" s="3"/>
      <c r="U1138" s="3"/>
      <c r="V1138" s="3"/>
      <c r="W1138" s="3"/>
      <c r="X1138" s="3"/>
      <c r="Y1138" s="3"/>
    </row>
    <row r="1139">
      <c r="A1139" s="5"/>
      <c r="B1139" s="5"/>
      <c r="C1139" s="5"/>
      <c r="D1139" s="5"/>
      <c r="E1139" s="3"/>
      <c r="F1139" s="5"/>
      <c r="G1139" s="5"/>
      <c r="H1139" s="5"/>
      <c r="I1139" s="3"/>
      <c r="J1139" s="3"/>
      <c r="K1139" s="3"/>
      <c r="L1139" s="3"/>
      <c r="M1139" s="3"/>
      <c r="N1139" s="3"/>
      <c r="O1139" s="3"/>
      <c r="P1139" s="3"/>
      <c r="Q1139" s="3"/>
      <c r="R1139" s="3"/>
      <c r="S1139" s="3"/>
      <c r="T1139" s="3"/>
      <c r="U1139" s="3"/>
      <c r="V1139" s="3"/>
      <c r="W1139" s="3"/>
      <c r="X1139" s="3"/>
      <c r="Y1139" s="3"/>
    </row>
    <row r="1140">
      <c r="A1140" s="5"/>
      <c r="B1140" s="5"/>
      <c r="C1140" s="5"/>
      <c r="D1140" s="5"/>
      <c r="E1140" s="3"/>
      <c r="F1140" s="5"/>
      <c r="G1140" s="5"/>
      <c r="H1140" s="5"/>
      <c r="I1140" s="3"/>
      <c r="J1140" s="3"/>
      <c r="K1140" s="3"/>
      <c r="L1140" s="3"/>
      <c r="M1140" s="3"/>
      <c r="N1140" s="3"/>
      <c r="O1140" s="3"/>
      <c r="P1140" s="3"/>
      <c r="Q1140" s="3"/>
      <c r="R1140" s="3"/>
      <c r="S1140" s="3"/>
      <c r="T1140" s="3"/>
      <c r="U1140" s="3"/>
      <c r="V1140" s="3"/>
      <c r="W1140" s="3"/>
      <c r="X1140" s="3"/>
      <c r="Y1140" s="3"/>
    </row>
    <row r="1141">
      <c r="A1141" s="5"/>
      <c r="B1141" s="5"/>
      <c r="C1141" s="5"/>
      <c r="D1141" s="5"/>
      <c r="E1141" s="3"/>
      <c r="F1141" s="5"/>
      <c r="G1141" s="5"/>
      <c r="H1141" s="5"/>
      <c r="I1141" s="3"/>
      <c r="J1141" s="3"/>
      <c r="K1141" s="3"/>
      <c r="L1141" s="3"/>
      <c r="M1141" s="3"/>
      <c r="N1141" s="3"/>
      <c r="O1141" s="3"/>
      <c r="P1141" s="3"/>
      <c r="Q1141" s="3"/>
      <c r="R1141" s="3"/>
      <c r="S1141" s="3"/>
      <c r="T1141" s="3"/>
      <c r="U1141" s="3"/>
      <c r="V1141" s="3"/>
      <c r="W1141" s="3"/>
      <c r="X1141" s="3"/>
      <c r="Y1141" s="3"/>
    </row>
    <row r="1142">
      <c r="A1142" s="5"/>
      <c r="B1142" s="5"/>
      <c r="C1142" s="5"/>
      <c r="D1142" s="5"/>
      <c r="E1142" s="3"/>
      <c r="F1142" s="5"/>
      <c r="G1142" s="5"/>
      <c r="H1142" s="5"/>
      <c r="I1142" s="3"/>
      <c r="J1142" s="3"/>
      <c r="K1142" s="3"/>
      <c r="L1142" s="3"/>
      <c r="M1142" s="3"/>
      <c r="N1142" s="3"/>
      <c r="O1142" s="3"/>
      <c r="P1142" s="3"/>
      <c r="Q1142" s="3"/>
      <c r="R1142" s="3"/>
      <c r="S1142" s="3"/>
      <c r="T1142" s="3"/>
      <c r="U1142" s="3"/>
      <c r="V1142" s="3"/>
      <c r="W1142" s="3"/>
      <c r="X1142" s="3"/>
      <c r="Y1142" s="3"/>
    </row>
    <row r="1143">
      <c r="A1143" s="5"/>
      <c r="B1143" s="5"/>
      <c r="C1143" s="5"/>
      <c r="D1143" s="5"/>
      <c r="E1143" s="3"/>
      <c r="F1143" s="5"/>
      <c r="G1143" s="5"/>
      <c r="H1143" s="5"/>
      <c r="I1143" s="3"/>
      <c r="J1143" s="3"/>
      <c r="K1143" s="3"/>
      <c r="L1143" s="3"/>
      <c r="M1143" s="3"/>
      <c r="N1143" s="3"/>
      <c r="O1143" s="3"/>
      <c r="P1143" s="3"/>
      <c r="Q1143" s="3"/>
      <c r="R1143" s="3"/>
      <c r="S1143" s="3"/>
      <c r="T1143" s="3"/>
      <c r="U1143" s="3"/>
      <c r="V1143" s="3"/>
      <c r="W1143" s="3"/>
      <c r="X1143" s="3"/>
      <c r="Y1143" s="3"/>
    </row>
    <row r="1144">
      <c r="A1144" s="5"/>
      <c r="B1144" s="5"/>
      <c r="C1144" s="5"/>
      <c r="D1144" s="5"/>
      <c r="E1144" s="3"/>
      <c r="F1144" s="5"/>
      <c r="G1144" s="5"/>
      <c r="H1144" s="5"/>
      <c r="I1144" s="3"/>
      <c r="J1144" s="3"/>
      <c r="K1144" s="3"/>
      <c r="L1144" s="3"/>
      <c r="M1144" s="3"/>
      <c r="N1144" s="3"/>
      <c r="O1144" s="3"/>
      <c r="P1144" s="3"/>
      <c r="Q1144" s="3"/>
      <c r="R1144" s="3"/>
      <c r="S1144" s="3"/>
      <c r="T1144" s="3"/>
      <c r="U1144" s="3"/>
      <c r="V1144" s="3"/>
      <c r="W1144" s="3"/>
      <c r="X1144" s="3"/>
      <c r="Y1144" s="3"/>
    </row>
    <row r="1145">
      <c r="A1145" s="5"/>
      <c r="B1145" s="5"/>
      <c r="C1145" s="5"/>
      <c r="D1145" s="5"/>
      <c r="E1145" s="3"/>
      <c r="F1145" s="5"/>
      <c r="G1145" s="5"/>
      <c r="H1145" s="5"/>
      <c r="I1145" s="3"/>
      <c r="J1145" s="3"/>
      <c r="K1145" s="3"/>
      <c r="L1145" s="3"/>
      <c r="M1145" s="3"/>
      <c r="N1145" s="3"/>
      <c r="O1145" s="3"/>
      <c r="P1145" s="3"/>
      <c r="Q1145" s="3"/>
      <c r="R1145" s="3"/>
      <c r="S1145" s="3"/>
      <c r="T1145" s="3"/>
      <c r="U1145" s="3"/>
      <c r="V1145" s="3"/>
      <c r="W1145" s="3"/>
      <c r="X1145" s="3"/>
      <c r="Y1145" s="3"/>
    </row>
    <row r="1146">
      <c r="A1146" s="5"/>
      <c r="B1146" s="5"/>
      <c r="C1146" s="5"/>
      <c r="D1146" s="5"/>
      <c r="E1146" s="3"/>
      <c r="F1146" s="5"/>
      <c r="G1146" s="5"/>
      <c r="H1146" s="5"/>
      <c r="I1146" s="3"/>
      <c r="J1146" s="3"/>
      <c r="K1146" s="3"/>
      <c r="L1146" s="3"/>
      <c r="M1146" s="3"/>
      <c r="N1146" s="3"/>
      <c r="O1146" s="3"/>
      <c r="P1146" s="3"/>
      <c r="Q1146" s="3"/>
      <c r="R1146" s="3"/>
      <c r="S1146" s="3"/>
      <c r="T1146" s="3"/>
      <c r="U1146" s="3"/>
      <c r="V1146" s="3"/>
      <c r="W1146" s="3"/>
      <c r="X1146" s="3"/>
      <c r="Y1146" s="3"/>
    </row>
    <row r="1147">
      <c r="A1147" s="5"/>
      <c r="B1147" s="5"/>
      <c r="C1147" s="5"/>
      <c r="D1147" s="5"/>
      <c r="E1147" s="3"/>
      <c r="F1147" s="5"/>
      <c r="G1147" s="5"/>
      <c r="H1147" s="5"/>
      <c r="I1147" s="3"/>
      <c r="J1147" s="3"/>
      <c r="K1147" s="3"/>
      <c r="L1147" s="3"/>
      <c r="M1147" s="3"/>
      <c r="N1147" s="3"/>
      <c r="O1147" s="3"/>
      <c r="P1147" s="3"/>
      <c r="Q1147" s="3"/>
      <c r="R1147" s="3"/>
      <c r="S1147" s="3"/>
      <c r="T1147" s="3"/>
      <c r="U1147" s="3"/>
      <c r="V1147" s="3"/>
      <c r="W1147" s="3"/>
      <c r="X1147" s="3"/>
      <c r="Y1147" s="3"/>
    </row>
    <row r="1148">
      <c r="A1148" s="5"/>
      <c r="B1148" s="5"/>
      <c r="C1148" s="5"/>
      <c r="D1148" s="5"/>
      <c r="E1148" s="3"/>
      <c r="F1148" s="5"/>
      <c r="G1148" s="5"/>
      <c r="H1148" s="5"/>
      <c r="I1148" s="3"/>
      <c r="J1148" s="3"/>
      <c r="K1148" s="3"/>
      <c r="L1148" s="3"/>
      <c r="M1148" s="3"/>
      <c r="N1148" s="3"/>
      <c r="O1148" s="3"/>
      <c r="P1148" s="3"/>
      <c r="Q1148" s="3"/>
      <c r="R1148" s="3"/>
      <c r="S1148" s="3"/>
      <c r="T1148" s="3"/>
      <c r="U1148" s="3"/>
      <c r="V1148" s="3"/>
      <c r="W1148" s="3"/>
      <c r="X1148" s="3"/>
      <c r="Y1148" s="3"/>
    </row>
    <row r="1149">
      <c r="A1149" s="5"/>
      <c r="B1149" s="5"/>
      <c r="C1149" s="5"/>
      <c r="D1149" s="5"/>
      <c r="E1149" s="3"/>
      <c r="F1149" s="5"/>
      <c r="G1149" s="5"/>
      <c r="H1149" s="5"/>
      <c r="I1149" s="3"/>
      <c r="J1149" s="3"/>
      <c r="K1149" s="3"/>
      <c r="L1149" s="3"/>
      <c r="M1149" s="3"/>
      <c r="N1149" s="3"/>
      <c r="O1149" s="3"/>
      <c r="P1149" s="3"/>
      <c r="Q1149" s="3"/>
      <c r="R1149" s="3"/>
      <c r="S1149" s="3"/>
      <c r="T1149" s="3"/>
      <c r="U1149" s="3"/>
      <c r="V1149" s="3"/>
      <c r="W1149" s="3"/>
      <c r="X1149" s="3"/>
      <c r="Y1149" s="3"/>
    </row>
    <row r="1150">
      <c r="A1150" s="5"/>
      <c r="B1150" s="5"/>
      <c r="C1150" s="5"/>
      <c r="D1150" s="5"/>
      <c r="E1150" s="3"/>
      <c r="F1150" s="5"/>
      <c r="G1150" s="5"/>
      <c r="H1150" s="5"/>
      <c r="I1150" s="3"/>
      <c r="J1150" s="3"/>
      <c r="K1150" s="3"/>
      <c r="L1150" s="3"/>
      <c r="M1150" s="3"/>
      <c r="N1150" s="3"/>
      <c r="O1150" s="3"/>
      <c r="P1150" s="3"/>
      <c r="Q1150" s="3"/>
      <c r="R1150" s="3"/>
      <c r="S1150" s="3"/>
      <c r="T1150" s="3"/>
      <c r="U1150" s="3"/>
      <c r="V1150" s="3"/>
      <c r="W1150" s="3"/>
      <c r="X1150" s="3"/>
      <c r="Y1150" s="3"/>
    </row>
    <row r="1151">
      <c r="A1151" s="5"/>
      <c r="B1151" s="5"/>
      <c r="C1151" s="5"/>
      <c r="D1151" s="5"/>
      <c r="E1151" s="3"/>
      <c r="F1151" s="5"/>
      <c r="G1151" s="5"/>
      <c r="H1151" s="5"/>
      <c r="I1151" s="3"/>
      <c r="J1151" s="3"/>
      <c r="K1151" s="3"/>
      <c r="L1151" s="3"/>
      <c r="M1151" s="3"/>
      <c r="N1151" s="3"/>
      <c r="O1151" s="3"/>
      <c r="P1151" s="3"/>
      <c r="Q1151" s="3"/>
      <c r="R1151" s="3"/>
      <c r="S1151" s="3"/>
      <c r="T1151" s="3"/>
      <c r="U1151" s="3"/>
      <c r="V1151" s="3"/>
      <c r="W1151" s="3"/>
      <c r="X1151" s="3"/>
      <c r="Y1151" s="3"/>
    </row>
    <row r="1152">
      <c r="A1152" s="5"/>
      <c r="B1152" s="5"/>
      <c r="C1152" s="5"/>
      <c r="D1152" s="5"/>
      <c r="E1152" s="3"/>
      <c r="F1152" s="5"/>
      <c r="G1152" s="5"/>
      <c r="H1152" s="5"/>
      <c r="I1152" s="3"/>
      <c r="J1152" s="3"/>
      <c r="K1152" s="3"/>
      <c r="L1152" s="3"/>
      <c r="M1152" s="3"/>
      <c r="N1152" s="3"/>
      <c r="O1152" s="3"/>
      <c r="P1152" s="3"/>
      <c r="Q1152" s="3"/>
      <c r="R1152" s="3"/>
      <c r="S1152" s="3"/>
      <c r="T1152" s="3"/>
      <c r="U1152" s="3"/>
      <c r="V1152" s="3"/>
      <c r="W1152" s="3"/>
      <c r="X1152" s="3"/>
      <c r="Y1152" s="3"/>
    </row>
    <row r="1153">
      <c r="A1153" s="5"/>
      <c r="B1153" s="5"/>
      <c r="C1153" s="5"/>
      <c r="D1153" s="5"/>
      <c r="E1153" s="3"/>
      <c r="F1153" s="5"/>
      <c r="G1153" s="5"/>
      <c r="H1153" s="5"/>
      <c r="I1153" s="3"/>
      <c r="J1153" s="3"/>
      <c r="K1153" s="3"/>
      <c r="L1153" s="3"/>
      <c r="M1153" s="3"/>
      <c r="N1153" s="3"/>
      <c r="O1153" s="3"/>
      <c r="P1153" s="3"/>
      <c r="Q1153" s="3"/>
      <c r="R1153" s="3"/>
      <c r="S1153" s="3"/>
      <c r="T1153" s="3"/>
      <c r="U1153" s="3"/>
      <c r="V1153" s="3"/>
      <c r="W1153" s="3"/>
      <c r="X1153" s="3"/>
      <c r="Y1153" s="3"/>
    </row>
    <row r="1154">
      <c r="A1154" s="5"/>
      <c r="B1154" s="5"/>
      <c r="C1154" s="5"/>
      <c r="D1154" s="5"/>
      <c r="E1154" s="3"/>
      <c r="F1154" s="5"/>
      <c r="G1154" s="5"/>
      <c r="H1154" s="5"/>
      <c r="I1154" s="3"/>
      <c r="J1154" s="3"/>
      <c r="K1154" s="3"/>
      <c r="L1154" s="3"/>
      <c r="M1154" s="3"/>
      <c r="N1154" s="3"/>
      <c r="O1154" s="3"/>
      <c r="P1154" s="3"/>
      <c r="Q1154" s="3"/>
      <c r="R1154" s="3"/>
      <c r="S1154" s="3"/>
      <c r="T1154" s="3"/>
      <c r="U1154" s="3"/>
      <c r="V1154" s="3"/>
      <c r="W1154" s="3"/>
      <c r="X1154" s="3"/>
      <c r="Y1154" s="3"/>
    </row>
    <row r="1155">
      <c r="A1155" s="5"/>
      <c r="B1155" s="5"/>
      <c r="C1155" s="5"/>
      <c r="D1155" s="5"/>
      <c r="E1155" s="3"/>
      <c r="F1155" s="5"/>
      <c r="G1155" s="5"/>
      <c r="H1155" s="5"/>
      <c r="I1155" s="3"/>
      <c r="J1155" s="3"/>
      <c r="K1155" s="3"/>
      <c r="L1155" s="3"/>
      <c r="M1155" s="3"/>
      <c r="N1155" s="3"/>
      <c r="O1155" s="3"/>
      <c r="P1155" s="3"/>
      <c r="Q1155" s="3"/>
      <c r="R1155" s="3"/>
      <c r="S1155" s="3"/>
      <c r="T1155" s="3"/>
      <c r="U1155" s="3"/>
      <c r="V1155" s="3"/>
      <c r="W1155" s="3"/>
      <c r="X1155" s="3"/>
      <c r="Y1155" s="3"/>
    </row>
    <row r="1156">
      <c r="A1156" s="5"/>
      <c r="B1156" s="5"/>
      <c r="C1156" s="5"/>
      <c r="D1156" s="5"/>
      <c r="E1156" s="3"/>
      <c r="F1156" s="5"/>
      <c r="G1156" s="5"/>
      <c r="H1156" s="5"/>
      <c r="I1156" s="3"/>
      <c r="J1156" s="3"/>
      <c r="K1156" s="3"/>
      <c r="L1156" s="3"/>
      <c r="M1156" s="3"/>
      <c r="N1156" s="3"/>
      <c r="O1156" s="3"/>
      <c r="P1156" s="3"/>
      <c r="Q1156" s="3"/>
      <c r="R1156" s="3"/>
      <c r="S1156" s="3"/>
      <c r="T1156" s="3"/>
      <c r="U1156" s="3"/>
      <c r="V1156" s="3"/>
      <c r="W1156" s="3"/>
      <c r="X1156" s="3"/>
      <c r="Y1156" s="3"/>
    </row>
    <row r="1157">
      <c r="A1157" s="5"/>
      <c r="B1157" s="5"/>
      <c r="C1157" s="5"/>
      <c r="D1157" s="5"/>
      <c r="E1157" s="3"/>
      <c r="F1157" s="5"/>
      <c r="G1157" s="5"/>
      <c r="H1157" s="5"/>
      <c r="I1157" s="3"/>
      <c r="J1157" s="3"/>
      <c r="K1157" s="3"/>
      <c r="L1157" s="3"/>
      <c r="M1157" s="3"/>
      <c r="N1157" s="3"/>
      <c r="O1157" s="3"/>
      <c r="P1157" s="3"/>
      <c r="Q1157" s="3"/>
      <c r="R1157" s="3"/>
      <c r="S1157" s="3"/>
      <c r="T1157" s="3"/>
      <c r="U1157" s="3"/>
      <c r="V1157" s="3"/>
      <c r="W1157" s="3"/>
      <c r="X1157" s="3"/>
      <c r="Y1157" s="3"/>
    </row>
    <row r="1158">
      <c r="A1158" s="5"/>
      <c r="B1158" s="5"/>
      <c r="C1158" s="5"/>
      <c r="D1158" s="5"/>
      <c r="E1158" s="3"/>
      <c r="F1158" s="5"/>
      <c r="G1158" s="5"/>
      <c r="H1158" s="5"/>
      <c r="I1158" s="3"/>
      <c r="J1158" s="3"/>
      <c r="K1158" s="3"/>
      <c r="L1158" s="3"/>
      <c r="M1158" s="3"/>
      <c r="N1158" s="3"/>
      <c r="O1158" s="3"/>
      <c r="P1158" s="3"/>
      <c r="Q1158" s="3"/>
      <c r="R1158" s="3"/>
      <c r="S1158" s="3"/>
      <c r="T1158" s="3"/>
      <c r="U1158" s="3"/>
      <c r="V1158" s="3"/>
      <c r="W1158" s="3"/>
      <c r="X1158" s="3"/>
      <c r="Y1158" s="3"/>
    </row>
    <row r="1159">
      <c r="A1159" s="5"/>
      <c r="B1159" s="5"/>
      <c r="C1159" s="5"/>
      <c r="D1159" s="5"/>
      <c r="E1159" s="3"/>
      <c r="F1159" s="5"/>
      <c r="G1159" s="5"/>
      <c r="H1159" s="5"/>
      <c r="I1159" s="3"/>
      <c r="J1159" s="3"/>
      <c r="K1159" s="3"/>
      <c r="L1159" s="3"/>
      <c r="M1159" s="3"/>
      <c r="N1159" s="3"/>
      <c r="O1159" s="3"/>
      <c r="P1159" s="3"/>
      <c r="Q1159" s="3"/>
      <c r="R1159" s="3"/>
      <c r="S1159" s="3"/>
      <c r="T1159" s="3"/>
      <c r="U1159" s="3"/>
      <c r="V1159" s="3"/>
      <c r="W1159" s="3"/>
      <c r="X1159" s="3"/>
      <c r="Y1159" s="3"/>
    </row>
    <row r="1160">
      <c r="A1160" s="5"/>
      <c r="B1160" s="5"/>
      <c r="C1160" s="5"/>
      <c r="D1160" s="5"/>
      <c r="E1160" s="3"/>
      <c r="F1160" s="5"/>
      <c r="G1160" s="5"/>
      <c r="H1160" s="5"/>
      <c r="I1160" s="3"/>
      <c r="J1160" s="3"/>
      <c r="K1160" s="3"/>
      <c r="L1160" s="3"/>
      <c r="M1160" s="3"/>
      <c r="N1160" s="3"/>
      <c r="O1160" s="3"/>
      <c r="P1160" s="3"/>
      <c r="Q1160" s="3"/>
      <c r="R1160" s="3"/>
      <c r="S1160" s="3"/>
      <c r="T1160" s="3"/>
      <c r="U1160" s="3"/>
      <c r="V1160" s="3"/>
      <c r="W1160" s="3"/>
      <c r="X1160" s="3"/>
      <c r="Y1160" s="3"/>
    </row>
    <row r="1161">
      <c r="A1161" s="5"/>
      <c r="B1161" s="5"/>
      <c r="C1161" s="5"/>
      <c r="D1161" s="5"/>
      <c r="E1161" s="3"/>
      <c r="F1161" s="5"/>
      <c r="G1161" s="5"/>
      <c r="H1161" s="5"/>
      <c r="I1161" s="3"/>
      <c r="J1161" s="3"/>
      <c r="K1161" s="3"/>
      <c r="L1161" s="3"/>
      <c r="M1161" s="3"/>
      <c r="N1161" s="3"/>
      <c r="O1161" s="3"/>
      <c r="P1161" s="3"/>
      <c r="Q1161" s="3"/>
      <c r="R1161" s="3"/>
      <c r="S1161" s="3"/>
      <c r="T1161" s="3"/>
      <c r="U1161" s="3"/>
      <c r="V1161" s="3"/>
      <c r="W1161" s="3"/>
      <c r="X1161" s="3"/>
      <c r="Y1161" s="3"/>
    </row>
    <row r="1162">
      <c r="A1162" s="5"/>
      <c r="B1162" s="5"/>
      <c r="C1162" s="5"/>
      <c r="D1162" s="5"/>
      <c r="E1162" s="3"/>
      <c r="F1162" s="5"/>
      <c r="G1162" s="5"/>
      <c r="H1162" s="5"/>
      <c r="I1162" s="3"/>
      <c r="J1162" s="3"/>
      <c r="K1162" s="3"/>
      <c r="L1162" s="3"/>
      <c r="M1162" s="3"/>
      <c r="N1162" s="3"/>
      <c r="O1162" s="3"/>
      <c r="P1162" s="3"/>
      <c r="Q1162" s="3"/>
      <c r="R1162" s="3"/>
      <c r="S1162" s="3"/>
      <c r="T1162" s="3"/>
      <c r="U1162" s="3"/>
      <c r="V1162" s="3"/>
      <c r="W1162" s="3"/>
      <c r="X1162" s="3"/>
      <c r="Y1162" s="3"/>
    </row>
    <row r="1163">
      <c r="A1163" s="5"/>
      <c r="B1163" s="5"/>
      <c r="C1163" s="5"/>
      <c r="D1163" s="5"/>
      <c r="E1163" s="3"/>
      <c r="F1163" s="5"/>
      <c r="G1163" s="5"/>
      <c r="H1163" s="5"/>
      <c r="I1163" s="3"/>
      <c r="J1163" s="3"/>
      <c r="K1163" s="3"/>
      <c r="L1163" s="3"/>
      <c r="M1163" s="3"/>
      <c r="N1163" s="3"/>
      <c r="O1163" s="3"/>
      <c r="P1163" s="3"/>
      <c r="Q1163" s="3"/>
      <c r="R1163" s="3"/>
      <c r="S1163" s="3"/>
      <c r="T1163" s="3"/>
      <c r="U1163" s="3"/>
      <c r="V1163" s="3"/>
      <c r="W1163" s="3"/>
      <c r="X1163" s="3"/>
      <c r="Y1163" s="3"/>
    </row>
    <row r="1164">
      <c r="A1164" s="5"/>
      <c r="B1164" s="5"/>
      <c r="C1164" s="5"/>
      <c r="D1164" s="5"/>
      <c r="E1164" s="3"/>
      <c r="F1164" s="5"/>
      <c r="G1164" s="5"/>
      <c r="H1164" s="5"/>
      <c r="I1164" s="3"/>
      <c r="J1164" s="3"/>
      <c r="K1164" s="3"/>
      <c r="L1164" s="3"/>
      <c r="M1164" s="3"/>
      <c r="N1164" s="3"/>
      <c r="O1164" s="3"/>
      <c r="P1164" s="3"/>
      <c r="Q1164" s="3"/>
      <c r="R1164" s="3"/>
      <c r="S1164" s="3"/>
      <c r="T1164" s="3"/>
      <c r="U1164" s="3"/>
      <c r="V1164" s="3"/>
      <c r="W1164" s="3"/>
      <c r="X1164" s="3"/>
      <c r="Y1164" s="3"/>
    </row>
    <row r="1165">
      <c r="A1165" s="5"/>
      <c r="B1165" s="5"/>
      <c r="C1165" s="5"/>
      <c r="D1165" s="5"/>
      <c r="E1165" s="3"/>
      <c r="F1165" s="5"/>
      <c r="G1165" s="5"/>
      <c r="H1165" s="5"/>
      <c r="I1165" s="3"/>
      <c r="J1165" s="3"/>
      <c r="K1165" s="3"/>
      <c r="L1165" s="3"/>
      <c r="M1165" s="3"/>
      <c r="N1165" s="3"/>
      <c r="O1165" s="3"/>
      <c r="P1165" s="3"/>
      <c r="Q1165" s="3"/>
      <c r="R1165" s="3"/>
      <c r="S1165" s="3"/>
      <c r="T1165" s="3"/>
      <c r="U1165" s="3"/>
      <c r="V1165" s="3"/>
      <c r="W1165" s="3"/>
      <c r="X1165" s="3"/>
      <c r="Y1165" s="3"/>
    </row>
    <row r="1166">
      <c r="A1166" s="5"/>
      <c r="B1166" s="5"/>
      <c r="C1166" s="5"/>
      <c r="D1166" s="5"/>
      <c r="E1166" s="3"/>
      <c r="F1166" s="5"/>
      <c r="G1166" s="5"/>
      <c r="H1166" s="5"/>
      <c r="I1166" s="3"/>
      <c r="J1166" s="3"/>
      <c r="K1166" s="3"/>
      <c r="L1166" s="3"/>
      <c r="M1166" s="3"/>
      <c r="N1166" s="3"/>
      <c r="O1166" s="3"/>
      <c r="P1166" s="3"/>
      <c r="Q1166" s="3"/>
      <c r="R1166" s="3"/>
      <c r="S1166" s="3"/>
      <c r="T1166" s="3"/>
      <c r="U1166" s="3"/>
      <c r="V1166" s="3"/>
      <c r="W1166" s="3"/>
      <c r="X1166" s="3"/>
      <c r="Y1166" s="3"/>
    </row>
    <row r="1167">
      <c r="A1167" s="5"/>
      <c r="B1167" s="5"/>
      <c r="C1167" s="5"/>
      <c r="D1167" s="5"/>
      <c r="E1167" s="3"/>
      <c r="F1167" s="5"/>
      <c r="G1167" s="5"/>
      <c r="H1167" s="5"/>
      <c r="I1167" s="3"/>
      <c r="J1167" s="3"/>
      <c r="K1167" s="3"/>
      <c r="L1167" s="3"/>
      <c r="M1167" s="3"/>
      <c r="N1167" s="3"/>
      <c r="O1167" s="3"/>
      <c r="P1167" s="3"/>
      <c r="Q1167" s="3"/>
      <c r="R1167" s="3"/>
      <c r="S1167" s="3"/>
      <c r="T1167" s="3"/>
      <c r="U1167" s="3"/>
      <c r="V1167" s="3"/>
      <c r="W1167" s="3"/>
      <c r="X1167" s="3"/>
      <c r="Y1167" s="3"/>
    </row>
    <row r="1168">
      <c r="A1168" s="5"/>
      <c r="B1168" s="5"/>
      <c r="C1168" s="5"/>
      <c r="D1168" s="5"/>
      <c r="E1168" s="3"/>
      <c r="F1168" s="5"/>
      <c r="G1168" s="5"/>
      <c r="H1168" s="5"/>
      <c r="I1168" s="3"/>
      <c r="J1168" s="3"/>
      <c r="K1168" s="3"/>
      <c r="L1168" s="3"/>
      <c r="M1168" s="3"/>
      <c r="N1168" s="3"/>
      <c r="O1168" s="3"/>
      <c r="P1168" s="3"/>
      <c r="Q1168" s="3"/>
      <c r="R1168" s="3"/>
      <c r="S1168" s="3"/>
      <c r="T1168" s="3"/>
      <c r="U1168" s="3"/>
      <c r="V1168" s="3"/>
      <c r="W1168" s="3"/>
      <c r="X1168" s="3"/>
      <c r="Y1168" s="3"/>
    </row>
    <row r="1169">
      <c r="A1169" s="5"/>
      <c r="B1169" s="5"/>
      <c r="C1169" s="5"/>
      <c r="D1169" s="5"/>
      <c r="E1169" s="3"/>
      <c r="F1169" s="5"/>
      <c r="G1169" s="5"/>
      <c r="H1169" s="5"/>
      <c r="I1169" s="3"/>
      <c r="J1169" s="3"/>
      <c r="K1169" s="3"/>
      <c r="L1169" s="3"/>
      <c r="M1169" s="3"/>
      <c r="N1169" s="3"/>
      <c r="O1169" s="3"/>
      <c r="P1169" s="3"/>
      <c r="Q1169" s="3"/>
      <c r="R1169" s="3"/>
      <c r="S1169" s="3"/>
      <c r="T1169" s="3"/>
      <c r="U1169" s="3"/>
      <c r="V1169" s="3"/>
      <c r="W1169" s="3"/>
      <c r="X1169" s="3"/>
      <c r="Y1169" s="3"/>
    </row>
    <row r="1170">
      <c r="A1170" s="5"/>
      <c r="B1170" s="5"/>
      <c r="C1170" s="5"/>
      <c r="D1170" s="5"/>
      <c r="E1170" s="3"/>
      <c r="F1170" s="5"/>
      <c r="G1170" s="5"/>
      <c r="H1170" s="5"/>
      <c r="I1170" s="3"/>
      <c r="J1170" s="3"/>
      <c r="K1170" s="3"/>
      <c r="L1170" s="3"/>
      <c r="M1170" s="3"/>
      <c r="N1170" s="3"/>
      <c r="O1170" s="3"/>
      <c r="P1170" s="3"/>
      <c r="Q1170" s="3"/>
      <c r="R1170" s="3"/>
      <c r="S1170" s="3"/>
      <c r="T1170" s="3"/>
      <c r="U1170" s="3"/>
      <c r="V1170" s="3"/>
      <c r="W1170" s="3"/>
      <c r="X1170" s="3"/>
      <c r="Y1170" s="3"/>
    </row>
    <row r="1171">
      <c r="A1171" s="5"/>
      <c r="B1171" s="5"/>
      <c r="C1171" s="5"/>
      <c r="D1171" s="5"/>
      <c r="E1171" s="3"/>
      <c r="F1171" s="5"/>
      <c r="G1171" s="5"/>
      <c r="H1171" s="5"/>
      <c r="I1171" s="3"/>
      <c r="J1171" s="3"/>
      <c r="K1171" s="3"/>
      <c r="L1171" s="3"/>
      <c r="M1171" s="3"/>
      <c r="N1171" s="3"/>
      <c r="O1171" s="3"/>
      <c r="P1171" s="3"/>
      <c r="Q1171" s="3"/>
      <c r="R1171" s="3"/>
      <c r="S1171" s="3"/>
      <c r="T1171" s="3"/>
      <c r="U1171" s="3"/>
      <c r="V1171" s="3"/>
      <c r="W1171" s="3"/>
      <c r="X1171" s="3"/>
      <c r="Y1171" s="3"/>
    </row>
    <row r="1172">
      <c r="A1172" s="5"/>
      <c r="B1172" s="5"/>
      <c r="C1172" s="5"/>
      <c r="D1172" s="5"/>
      <c r="E1172" s="3"/>
      <c r="F1172" s="5"/>
      <c r="G1172" s="5"/>
      <c r="H1172" s="5"/>
      <c r="I1172" s="3"/>
      <c r="J1172" s="3"/>
      <c r="K1172" s="3"/>
      <c r="L1172" s="3"/>
      <c r="M1172" s="3"/>
      <c r="N1172" s="3"/>
      <c r="O1172" s="3"/>
      <c r="P1172" s="3"/>
      <c r="Q1172" s="3"/>
      <c r="R1172" s="3"/>
      <c r="S1172" s="3"/>
      <c r="T1172" s="3"/>
      <c r="U1172" s="3"/>
      <c r="V1172" s="3"/>
      <c r="W1172" s="3"/>
      <c r="X1172" s="3"/>
      <c r="Y1172" s="3"/>
    </row>
    <row r="1173">
      <c r="A1173" s="5"/>
      <c r="B1173" s="5"/>
      <c r="C1173" s="5"/>
      <c r="D1173" s="5"/>
      <c r="E1173" s="3"/>
      <c r="F1173" s="5"/>
      <c r="G1173" s="5"/>
      <c r="H1173" s="5"/>
      <c r="I1173" s="3"/>
      <c r="J1173" s="3"/>
      <c r="K1173" s="3"/>
      <c r="L1173" s="3"/>
      <c r="M1173" s="3"/>
      <c r="N1173" s="3"/>
      <c r="O1173" s="3"/>
      <c r="P1173" s="3"/>
      <c r="Q1173" s="3"/>
      <c r="R1173" s="3"/>
      <c r="S1173" s="3"/>
      <c r="T1173" s="3"/>
      <c r="U1173" s="3"/>
      <c r="V1173" s="3"/>
      <c r="W1173" s="3"/>
      <c r="X1173" s="3"/>
      <c r="Y1173" s="3"/>
    </row>
    <row r="1174">
      <c r="A1174" s="5"/>
      <c r="B1174" s="5"/>
      <c r="C1174" s="5"/>
      <c r="D1174" s="5"/>
      <c r="E1174" s="3"/>
      <c r="F1174" s="5"/>
      <c r="G1174" s="5"/>
      <c r="H1174" s="5"/>
      <c r="I1174" s="3"/>
      <c r="J1174" s="3"/>
      <c r="K1174" s="3"/>
      <c r="L1174" s="3"/>
      <c r="M1174" s="3"/>
      <c r="N1174" s="3"/>
      <c r="O1174" s="3"/>
      <c r="P1174" s="3"/>
      <c r="Q1174" s="3"/>
      <c r="R1174" s="3"/>
      <c r="S1174" s="3"/>
      <c r="T1174" s="3"/>
      <c r="U1174" s="3"/>
      <c r="V1174" s="3"/>
      <c r="W1174" s="3"/>
      <c r="X1174" s="3"/>
      <c r="Y1174" s="3"/>
    </row>
    <row r="1175">
      <c r="A1175" s="5"/>
      <c r="B1175" s="5"/>
      <c r="C1175" s="5"/>
      <c r="D1175" s="5"/>
      <c r="E1175" s="3"/>
      <c r="F1175" s="5"/>
      <c r="G1175" s="5"/>
      <c r="H1175" s="5"/>
      <c r="I1175" s="3"/>
      <c r="J1175" s="3"/>
      <c r="K1175" s="3"/>
      <c r="L1175" s="3"/>
      <c r="M1175" s="3"/>
      <c r="N1175" s="3"/>
      <c r="O1175" s="3"/>
      <c r="P1175" s="3"/>
      <c r="Q1175" s="3"/>
      <c r="R1175" s="3"/>
      <c r="S1175" s="3"/>
      <c r="T1175" s="3"/>
      <c r="U1175" s="3"/>
      <c r="V1175" s="3"/>
      <c r="W1175" s="3"/>
      <c r="X1175" s="3"/>
      <c r="Y1175" s="3"/>
    </row>
    <row r="1176">
      <c r="A1176" s="5"/>
      <c r="B1176" s="5"/>
      <c r="C1176" s="5"/>
      <c r="D1176" s="5"/>
      <c r="E1176" s="3"/>
      <c r="F1176" s="5"/>
      <c r="G1176" s="5"/>
      <c r="H1176" s="5"/>
      <c r="I1176" s="3"/>
      <c r="J1176" s="3"/>
      <c r="K1176" s="3"/>
      <c r="L1176" s="3"/>
      <c r="M1176" s="3"/>
      <c r="N1176" s="3"/>
      <c r="O1176" s="3"/>
      <c r="P1176" s="3"/>
      <c r="Q1176" s="3"/>
      <c r="R1176" s="3"/>
      <c r="S1176" s="3"/>
      <c r="T1176" s="3"/>
      <c r="U1176" s="3"/>
      <c r="V1176" s="3"/>
      <c r="W1176" s="3"/>
      <c r="X1176" s="3"/>
      <c r="Y1176" s="3"/>
    </row>
    <row r="1177">
      <c r="A1177" s="5"/>
      <c r="B1177" s="5"/>
      <c r="C1177" s="5"/>
      <c r="D1177" s="5"/>
      <c r="E1177" s="3"/>
      <c r="F1177" s="5"/>
      <c r="G1177" s="5"/>
      <c r="H1177" s="5"/>
      <c r="I1177" s="3"/>
      <c r="J1177" s="3"/>
      <c r="K1177" s="3"/>
      <c r="L1177" s="3"/>
      <c r="M1177" s="3"/>
      <c r="N1177" s="3"/>
      <c r="O1177" s="3"/>
      <c r="P1177" s="3"/>
      <c r="Q1177" s="3"/>
      <c r="R1177" s="3"/>
      <c r="S1177" s="3"/>
      <c r="T1177" s="3"/>
      <c r="U1177" s="3"/>
      <c r="V1177" s="3"/>
      <c r="W1177" s="3"/>
      <c r="X1177" s="3"/>
      <c r="Y1177" s="3"/>
    </row>
    <row r="1178">
      <c r="A1178" s="5"/>
      <c r="B1178" s="5"/>
      <c r="C1178" s="5"/>
      <c r="D1178" s="5"/>
      <c r="E1178" s="3"/>
      <c r="F1178" s="5"/>
      <c r="G1178" s="5"/>
      <c r="H1178" s="5"/>
      <c r="I1178" s="3"/>
      <c r="J1178" s="3"/>
      <c r="K1178" s="3"/>
      <c r="L1178" s="3"/>
      <c r="M1178" s="3"/>
      <c r="N1178" s="3"/>
      <c r="O1178" s="3"/>
      <c r="P1178" s="3"/>
      <c r="Q1178" s="3"/>
      <c r="R1178" s="3"/>
      <c r="S1178" s="3"/>
      <c r="T1178" s="3"/>
      <c r="U1178" s="3"/>
      <c r="V1178" s="3"/>
      <c r="W1178" s="3"/>
      <c r="X1178" s="3"/>
      <c r="Y1178" s="3"/>
    </row>
    <row r="1179">
      <c r="A1179" s="5"/>
      <c r="B1179" s="5"/>
      <c r="C1179" s="5"/>
      <c r="D1179" s="5"/>
      <c r="E1179" s="3"/>
      <c r="F1179" s="5"/>
      <c r="G1179" s="5"/>
      <c r="H1179" s="5"/>
      <c r="I1179" s="3"/>
      <c r="J1179" s="3"/>
      <c r="K1179" s="3"/>
      <c r="L1179" s="3"/>
      <c r="M1179" s="3"/>
      <c r="N1179" s="3"/>
      <c r="O1179" s="3"/>
      <c r="P1179" s="3"/>
      <c r="Q1179" s="3"/>
      <c r="R1179" s="3"/>
      <c r="S1179" s="3"/>
      <c r="T1179" s="3"/>
      <c r="U1179" s="3"/>
      <c r="V1179" s="3"/>
      <c r="W1179" s="3"/>
      <c r="X1179" s="3"/>
      <c r="Y1179" s="3"/>
    </row>
    <row r="1180">
      <c r="A1180" s="5"/>
      <c r="B1180" s="5"/>
      <c r="C1180" s="5"/>
      <c r="D1180" s="5"/>
      <c r="E1180" s="3"/>
      <c r="F1180" s="5"/>
      <c r="G1180" s="5"/>
      <c r="H1180" s="5"/>
      <c r="I1180" s="3"/>
      <c r="J1180" s="3"/>
      <c r="K1180" s="3"/>
      <c r="L1180" s="3"/>
      <c r="M1180" s="3"/>
      <c r="N1180" s="3"/>
      <c r="O1180" s="3"/>
      <c r="P1180" s="3"/>
      <c r="Q1180" s="3"/>
      <c r="R1180" s="3"/>
      <c r="S1180" s="3"/>
      <c r="T1180" s="3"/>
      <c r="U1180" s="3"/>
      <c r="V1180" s="3"/>
      <c r="W1180" s="3"/>
      <c r="X1180" s="3"/>
      <c r="Y1180" s="3"/>
    </row>
    <row r="1181">
      <c r="A1181" s="5"/>
      <c r="B1181" s="5"/>
      <c r="C1181" s="5"/>
      <c r="D1181" s="5"/>
      <c r="E1181" s="3"/>
      <c r="F1181" s="5"/>
      <c r="G1181" s="5"/>
      <c r="H1181" s="5"/>
      <c r="I1181" s="3"/>
      <c r="J1181" s="3"/>
      <c r="K1181" s="3"/>
      <c r="L1181" s="3"/>
      <c r="M1181" s="3"/>
      <c r="N1181" s="3"/>
      <c r="O1181" s="3"/>
      <c r="P1181" s="3"/>
      <c r="Q1181" s="3"/>
      <c r="R1181" s="3"/>
      <c r="S1181" s="3"/>
      <c r="T1181" s="3"/>
      <c r="U1181" s="3"/>
      <c r="V1181" s="3"/>
      <c r="W1181" s="3"/>
      <c r="X1181" s="3"/>
      <c r="Y1181" s="3"/>
    </row>
    <row r="1182">
      <c r="A1182" s="5"/>
      <c r="B1182" s="5"/>
      <c r="C1182" s="5"/>
      <c r="D1182" s="5"/>
      <c r="E1182" s="3"/>
      <c r="F1182" s="5"/>
      <c r="G1182" s="5"/>
      <c r="H1182" s="5"/>
      <c r="I1182" s="3"/>
      <c r="J1182" s="3"/>
      <c r="K1182" s="3"/>
      <c r="L1182" s="3"/>
      <c r="M1182" s="3"/>
      <c r="N1182" s="3"/>
      <c r="O1182" s="3"/>
      <c r="P1182" s="3"/>
      <c r="Q1182" s="3"/>
      <c r="R1182" s="3"/>
      <c r="S1182" s="3"/>
      <c r="T1182" s="3"/>
      <c r="U1182" s="3"/>
      <c r="V1182" s="3"/>
      <c r="W1182" s="3"/>
      <c r="X1182" s="3"/>
      <c r="Y1182" s="3"/>
    </row>
    <row r="1183">
      <c r="A1183" s="5"/>
      <c r="B1183" s="5"/>
      <c r="C1183" s="5"/>
      <c r="D1183" s="5"/>
      <c r="E1183" s="3"/>
      <c r="F1183" s="5"/>
      <c r="G1183" s="5"/>
      <c r="H1183" s="5"/>
      <c r="I1183" s="3"/>
      <c r="J1183" s="3"/>
      <c r="K1183" s="3"/>
      <c r="L1183" s="3"/>
      <c r="M1183" s="3"/>
      <c r="N1183" s="3"/>
      <c r="O1183" s="3"/>
      <c r="P1183" s="3"/>
      <c r="Q1183" s="3"/>
      <c r="R1183" s="3"/>
      <c r="S1183" s="3"/>
      <c r="T1183" s="3"/>
      <c r="U1183" s="3"/>
      <c r="V1183" s="3"/>
      <c r="W1183" s="3"/>
      <c r="X1183" s="3"/>
      <c r="Y1183" s="3"/>
    </row>
    <row r="1184">
      <c r="A1184" s="5"/>
      <c r="B1184" s="5"/>
      <c r="C1184" s="5"/>
      <c r="D1184" s="5"/>
      <c r="E1184" s="3"/>
      <c r="F1184" s="5"/>
      <c r="G1184" s="5"/>
      <c r="H1184" s="5"/>
      <c r="I1184" s="3"/>
      <c r="J1184" s="3"/>
      <c r="K1184" s="3"/>
      <c r="L1184" s="3"/>
      <c r="M1184" s="3"/>
      <c r="N1184" s="3"/>
      <c r="O1184" s="3"/>
      <c r="P1184" s="3"/>
      <c r="Q1184" s="3"/>
      <c r="R1184" s="3"/>
      <c r="S1184" s="3"/>
      <c r="T1184" s="3"/>
      <c r="U1184" s="3"/>
      <c r="V1184" s="3"/>
      <c r="W1184" s="3"/>
      <c r="X1184" s="3"/>
      <c r="Y1184" s="3"/>
    </row>
    <row r="1185">
      <c r="A1185" s="5"/>
      <c r="B1185" s="5"/>
      <c r="C1185" s="5"/>
      <c r="D1185" s="5"/>
      <c r="E1185" s="3"/>
      <c r="F1185" s="5"/>
      <c r="G1185" s="5"/>
      <c r="H1185" s="5"/>
      <c r="I1185" s="3"/>
      <c r="J1185" s="3"/>
      <c r="K1185" s="3"/>
      <c r="L1185" s="3"/>
      <c r="M1185" s="3"/>
      <c r="N1185" s="3"/>
      <c r="O1185" s="3"/>
      <c r="P1185" s="3"/>
      <c r="Q1185" s="3"/>
      <c r="R1185" s="3"/>
      <c r="S1185" s="3"/>
      <c r="T1185" s="3"/>
      <c r="U1185" s="3"/>
      <c r="V1185" s="3"/>
      <c r="W1185" s="3"/>
      <c r="X1185" s="3"/>
      <c r="Y1185" s="3"/>
    </row>
    <row r="1186">
      <c r="A1186" s="5"/>
      <c r="B1186" s="5"/>
      <c r="C1186" s="5"/>
      <c r="D1186" s="5"/>
      <c r="E1186" s="3"/>
      <c r="F1186" s="5"/>
      <c r="G1186" s="5"/>
      <c r="H1186" s="5"/>
      <c r="I1186" s="3"/>
      <c r="J1186" s="3"/>
      <c r="K1186" s="3"/>
      <c r="L1186" s="3"/>
      <c r="M1186" s="3"/>
      <c r="N1186" s="3"/>
      <c r="O1186" s="3"/>
      <c r="P1186" s="3"/>
      <c r="Q1186" s="3"/>
      <c r="R1186" s="3"/>
      <c r="S1186" s="3"/>
      <c r="T1186" s="3"/>
      <c r="U1186" s="3"/>
      <c r="V1186" s="3"/>
      <c r="W1186" s="3"/>
      <c r="X1186" s="3"/>
      <c r="Y1186" s="3"/>
    </row>
    <row r="1187">
      <c r="A1187" s="5"/>
      <c r="B1187" s="5"/>
      <c r="C1187" s="5"/>
      <c r="D1187" s="5"/>
      <c r="E1187" s="3"/>
      <c r="F1187" s="5"/>
      <c r="G1187" s="5"/>
      <c r="H1187" s="5"/>
      <c r="I1187" s="3"/>
      <c r="J1187" s="3"/>
      <c r="K1187" s="3"/>
      <c r="L1187" s="3"/>
      <c r="M1187" s="3"/>
      <c r="N1187" s="3"/>
      <c r="O1187" s="3"/>
      <c r="P1187" s="3"/>
      <c r="Q1187" s="3"/>
      <c r="R1187" s="3"/>
      <c r="S1187" s="3"/>
      <c r="T1187" s="3"/>
      <c r="U1187" s="3"/>
      <c r="V1187" s="3"/>
      <c r="W1187" s="3"/>
      <c r="X1187" s="3"/>
      <c r="Y1187" s="3"/>
    </row>
    <row r="1188">
      <c r="A1188" s="5"/>
      <c r="B1188" s="5"/>
      <c r="C1188" s="5"/>
      <c r="D1188" s="5"/>
      <c r="E1188" s="3"/>
      <c r="F1188" s="5"/>
      <c r="G1188" s="5"/>
      <c r="H1188" s="5"/>
      <c r="I1188" s="3"/>
      <c r="J1188" s="3"/>
      <c r="K1188" s="3"/>
      <c r="L1188" s="3"/>
      <c r="M1188" s="3"/>
      <c r="N1188" s="3"/>
      <c r="O1188" s="3"/>
      <c r="P1188" s="3"/>
      <c r="Q1188" s="3"/>
      <c r="R1188" s="3"/>
      <c r="S1188" s="3"/>
      <c r="T1188" s="3"/>
      <c r="U1188" s="3"/>
      <c r="V1188" s="3"/>
      <c r="W1188" s="3"/>
      <c r="X1188" s="3"/>
      <c r="Y1188" s="3"/>
    </row>
    <row r="1189">
      <c r="A1189" s="5"/>
      <c r="B1189" s="5"/>
      <c r="C1189" s="5"/>
      <c r="D1189" s="5"/>
      <c r="E1189" s="3"/>
      <c r="F1189" s="5"/>
      <c r="G1189" s="5"/>
      <c r="H1189" s="5"/>
      <c r="I1189" s="3"/>
      <c r="J1189" s="3"/>
      <c r="K1189" s="3"/>
      <c r="L1189" s="3"/>
      <c r="M1189" s="3"/>
      <c r="N1189" s="3"/>
      <c r="O1189" s="3"/>
      <c r="P1189" s="3"/>
      <c r="Q1189" s="3"/>
      <c r="R1189" s="3"/>
      <c r="S1189" s="3"/>
      <c r="T1189" s="3"/>
      <c r="U1189" s="3"/>
      <c r="V1189" s="3"/>
      <c r="W1189" s="3"/>
      <c r="X1189" s="3"/>
      <c r="Y1189" s="3"/>
    </row>
    <row r="1190">
      <c r="A1190" s="5"/>
      <c r="B1190" s="5"/>
      <c r="C1190" s="5"/>
      <c r="D1190" s="5"/>
      <c r="E1190" s="3"/>
      <c r="F1190" s="5"/>
      <c r="G1190" s="5"/>
      <c r="H1190" s="5"/>
      <c r="I1190" s="3"/>
      <c r="J1190" s="3"/>
      <c r="K1190" s="3"/>
      <c r="L1190" s="3"/>
      <c r="M1190" s="3"/>
      <c r="N1190" s="3"/>
      <c r="O1190" s="3"/>
      <c r="P1190" s="3"/>
      <c r="Q1190" s="3"/>
      <c r="R1190" s="3"/>
      <c r="S1190" s="3"/>
      <c r="T1190" s="3"/>
      <c r="U1190" s="3"/>
      <c r="V1190" s="3"/>
      <c r="W1190" s="3"/>
      <c r="X1190" s="3"/>
      <c r="Y1190" s="3"/>
    </row>
    <row r="1191">
      <c r="A1191" s="5"/>
      <c r="B1191" s="5"/>
      <c r="C1191" s="5"/>
      <c r="D1191" s="5"/>
      <c r="E1191" s="3"/>
      <c r="F1191" s="5"/>
      <c r="G1191" s="5"/>
      <c r="H1191" s="5"/>
      <c r="I1191" s="3"/>
      <c r="J1191" s="3"/>
      <c r="K1191" s="3"/>
      <c r="L1191" s="3"/>
      <c r="M1191" s="3"/>
      <c r="N1191" s="3"/>
      <c r="O1191" s="3"/>
      <c r="P1191" s="3"/>
      <c r="Q1191" s="3"/>
      <c r="R1191" s="3"/>
      <c r="S1191" s="3"/>
      <c r="T1191" s="3"/>
      <c r="U1191" s="3"/>
      <c r="V1191" s="3"/>
      <c r="W1191" s="3"/>
      <c r="X1191" s="3"/>
      <c r="Y1191" s="3"/>
    </row>
    <row r="1192">
      <c r="A1192" s="5"/>
      <c r="B1192" s="5"/>
      <c r="C1192" s="5"/>
      <c r="D1192" s="5"/>
      <c r="E1192" s="3"/>
      <c r="F1192" s="5"/>
      <c r="G1192" s="5"/>
      <c r="H1192" s="5"/>
      <c r="I1192" s="3"/>
      <c r="J1192" s="3"/>
      <c r="K1192" s="3"/>
      <c r="L1192" s="3"/>
      <c r="M1192" s="3"/>
      <c r="N1192" s="3"/>
      <c r="O1192" s="3"/>
      <c r="P1192" s="3"/>
      <c r="Q1192" s="3"/>
      <c r="R1192" s="3"/>
      <c r="S1192" s="3"/>
      <c r="T1192" s="3"/>
      <c r="U1192" s="3"/>
      <c r="V1192" s="3"/>
      <c r="W1192" s="3"/>
      <c r="X1192" s="3"/>
      <c r="Y1192" s="3"/>
    </row>
    <row r="1193">
      <c r="A1193" s="5"/>
      <c r="B1193" s="5"/>
      <c r="C1193" s="5"/>
      <c r="D1193" s="5"/>
      <c r="E1193" s="3"/>
      <c r="F1193" s="5"/>
      <c r="G1193" s="5"/>
      <c r="H1193" s="5"/>
      <c r="I1193" s="3"/>
      <c r="J1193" s="3"/>
      <c r="K1193" s="3"/>
      <c r="L1193" s="3"/>
      <c r="M1193" s="3"/>
      <c r="N1193" s="3"/>
      <c r="O1193" s="3"/>
      <c r="P1193" s="3"/>
      <c r="Q1193" s="3"/>
      <c r="R1193" s="3"/>
      <c r="S1193" s="3"/>
      <c r="T1193" s="3"/>
      <c r="U1193" s="3"/>
      <c r="V1193" s="3"/>
      <c r="W1193" s="3"/>
      <c r="X1193" s="3"/>
      <c r="Y1193" s="3"/>
    </row>
    <row r="1194">
      <c r="A1194" s="5"/>
      <c r="B1194" s="5"/>
      <c r="C1194" s="5"/>
      <c r="D1194" s="5"/>
      <c r="E1194" s="3"/>
      <c r="F1194" s="5"/>
      <c r="G1194" s="5"/>
      <c r="H1194" s="5"/>
      <c r="I1194" s="3"/>
      <c r="J1194" s="3"/>
      <c r="K1194" s="3"/>
      <c r="L1194" s="3"/>
      <c r="M1194" s="3"/>
      <c r="N1194" s="3"/>
      <c r="O1194" s="3"/>
      <c r="P1194" s="3"/>
      <c r="Q1194" s="3"/>
      <c r="R1194" s="3"/>
      <c r="S1194" s="3"/>
      <c r="T1194" s="3"/>
      <c r="U1194" s="3"/>
      <c r="V1194" s="3"/>
      <c r="W1194" s="3"/>
      <c r="X1194" s="3"/>
      <c r="Y1194" s="3"/>
    </row>
    <row r="1195">
      <c r="A1195" s="5"/>
      <c r="B1195" s="5"/>
      <c r="C1195" s="5"/>
      <c r="D1195" s="5"/>
      <c r="E1195" s="3"/>
      <c r="F1195" s="5"/>
      <c r="G1195" s="5"/>
      <c r="H1195" s="5"/>
      <c r="I1195" s="3"/>
      <c r="J1195" s="3"/>
      <c r="K1195" s="3"/>
      <c r="L1195" s="3"/>
      <c r="M1195" s="3"/>
      <c r="N1195" s="3"/>
      <c r="O1195" s="3"/>
      <c r="P1195" s="3"/>
      <c r="Q1195" s="3"/>
      <c r="R1195" s="3"/>
      <c r="S1195" s="3"/>
      <c r="T1195" s="3"/>
      <c r="U1195" s="3"/>
      <c r="V1195" s="3"/>
      <c r="W1195" s="3"/>
      <c r="X1195" s="3"/>
      <c r="Y1195" s="3"/>
    </row>
    <row r="1196">
      <c r="A1196" s="5"/>
      <c r="B1196" s="5"/>
      <c r="C1196" s="5"/>
      <c r="D1196" s="5"/>
      <c r="E1196" s="3"/>
      <c r="F1196" s="5"/>
      <c r="G1196" s="5"/>
      <c r="H1196" s="5"/>
      <c r="I1196" s="3"/>
      <c r="J1196" s="3"/>
      <c r="K1196" s="3"/>
      <c r="L1196" s="3"/>
      <c r="M1196" s="3"/>
      <c r="N1196" s="3"/>
      <c r="O1196" s="3"/>
      <c r="P1196" s="3"/>
      <c r="Q1196" s="3"/>
      <c r="R1196" s="3"/>
      <c r="S1196" s="3"/>
      <c r="T1196" s="3"/>
      <c r="U1196" s="3"/>
      <c r="V1196" s="3"/>
      <c r="W1196" s="3"/>
      <c r="X1196" s="3"/>
      <c r="Y1196" s="3"/>
    </row>
    <row r="1197">
      <c r="A1197" s="5"/>
      <c r="B1197" s="5"/>
      <c r="C1197" s="5"/>
      <c r="D1197" s="5"/>
      <c r="E1197" s="3"/>
      <c r="F1197" s="5"/>
      <c r="G1197" s="5"/>
      <c r="H1197" s="5"/>
      <c r="I1197" s="3"/>
      <c r="J1197" s="3"/>
      <c r="K1197" s="3"/>
      <c r="L1197" s="3"/>
      <c r="M1197" s="3"/>
      <c r="N1197" s="3"/>
      <c r="O1197" s="3"/>
      <c r="P1197" s="3"/>
      <c r="Q1197" s="3"/>
      <c r="R1197" s="3"/>
      <c r="S1197" s="3"/>
      <c r="T1197" s="3"/>
      <c r="U1197" s="3"/>
      <c r="V1197" s="3"/>
      <c r="W1197" s="3"/>
      <c r="X1197" s="3"/>
      <c r="Y1197" s="3"/>
    </row>
    <row r="1198">
      <c r="A1198" s="5"/>
      <c r="B1198" s="5"/>
      <c r="C1198" s="5"/>
      <c r="D1198" s="5"/>
      <c r="E1198" s="3"/>
      <c r="F1198" s="5"/>
      <c r="G1198" s="5"/>
      <c r="H1198" s="5"/>
      <c r="I1198" s="3"/>
      <c r="J1198" s="3"/>
      <c r="K1198" s="3"/>
      <c r="L1198" s="3"/>
      <c r="M1198" s="3"/>
      <c r="N1198" s="3"/>
      <c r="O1198" s="3"/>
      <c r="P1198" s="3"/>
      <c r="Q1198" s="3"/>
      <c r="R1198" s="3"/>
      <c r="S1198" s="3"/>
      <c r="T1198" s="3"/>
      <c r="U1198" s="3"/>
      <c r="V1198" s="3"/>
      <c r="W1198" s="3"/>
      <c r="X1198" s="3"/>
      <c r="Y1198" s="3"/>
    </row>
    <row r="1199">
      <c r="A1199" s="5"/>
      <c r="B1199" s="5"/>
      <c r="C1199" s="5"/>
      <c r="D1199" s="5"/>
      <c r="E1199" s="3"/>
      <c r="F1199" s="5"/>
      <c r="G1199" s="5"/>
      <c r="H1199" s="5"/>
      <c r="I1199" s="3"/>
      <c r="J1199" s="3"/>
      <c r="K1199" s="3"/>
      <c r="L1199" s="3"/>
      <c r="M1199" s="3"/>
      <c r="N1199" s="3"/>
      <c r="O1199" s="3"/>
      <c r="P1199" s="3"/>
      <c r="Q1199" s="3"/>
      <c r="R1199" s="3"/>
      <c r="S1199" s="3"/>
      <c r="T1199" s="3"/>
      <c r="U1199" s="3"/>
      <c r="V1199" s="3"/>
      <c r="W1199" s="3"/>
      <c r="X1199" s="3"/>
      <c r="Y1199" s="3"/>
    </row>
    <row r="1200">
      <c r="A1200" s="5"/>
      <c r="B1200" s="5"/>
      <c r="C1200" s="5"/>
      <c r="D1200" s="5"/>
      <c r="E1200" s="3"/>
      <c r="F1200" s="5"/>
      <c r="G1200" s="5"/>
      <c r="H1200" s="5"/>
      <c r="I1200" s="3"/>
      <c r="J1200" s="3"/>
      <c r="K1200" s="3"/>
      <c r="L1200" s="3"/>
      <c r="M1200" s="3"/>
      <c r="N1200" s="3"/>
      <c r="O1200" s="3"/>
      <c r="P1200" s="3"/>
      <c r="Q1200" s="3"/>
      <c r="R1200" s="3"/>
      <c r="S1200" s="3"/>
      <c r="T1200" s="3"/>
      <c r="U1200" s="3"/>
      <c r="V1200" s="3"/>
      <c r="W1200" s="3"/>
      <c r="X1200" s="3"/>
      <c r="Y1200" s="3"/>
    </row>
    <row r="1201">
      <c r="A1201" s="5"/>
      <c r="B1201" s="5"/>
      <c r="C1201" s="5"/>
      <c r="D1201" s="5"/>
      <c r="E1201" s="3"/>
      <c r="F1201" s="5"/>
      <c r="G1201" s="5"/>
      <c r="H1201" s="5"/>
      <c r="I1201" s="3"/>
      <c r="J1201" s="3"/>
      <c r="K1201" s="3"/>
      <c r="L1201" s="3"/>
      <c r="M1201" s="3"/>
      <c r="N1201" s="3"/>
      <c r="O1201" s="3"/>
      <c r="P1201" s="3"/>
      <c r="Q1201" s="3"/>
      <c r="R1201" s="3"/>
      <c r="S1201" s="3"/>
      <c r="T1201" s="3"/>
      <c r="U1201" s="3"/>
      <c r="V1201" s="3"/>
      <c r="W1201" s="3"/>
      <c r="X1201" s="3"/>
      <c r="Y1201" s="3"/>
    </row>
    <row r="1202">
      <c r="A1202" s="5"/>
      <c r="B1202" s="5"/>
      <c r="C1202" s="5"/>
      <c r="D1202" s="5"/>
      <c r="E1202" s="3"/>
      <c r="F1202" s="5"/>
      <c r="G1202" s="5"/>
      <c r="H1202" s="5"/>
      <c r="I1202" s="3"/>
      <c r="J1202" s="3"/>
      <c r="K1202" s="3"/>
      <c r="L1202" s="3"/>
      <c r="M1202" s="3"/>
      <c r="N1202" s="3"/>
      <c r="O1202" s="3"/>
      <c r="P1202" s="3"/>
      <c r="Q1202" s="3"/>
      <c r="R1202" s="3"/>
      <c r="S1202" s="3"/>
      <c r="T1202" s="3"/>
      <c r="U1202" s="3"/>
      <c r="V1202" s="3"/>
      <c r="W1202" s="3"/>
      <c r="X1202" s="3"/>
      <c r="Y1202" s="3"/>
    </row>
    <row r="1203">
      <c r="A1203" s="5"/>
      <c r="B1203" s="5"/>
      <c r="C1203" s="5"/>
      <c r="D1203" s="5"/>
      <c r="E1203" s="3"/>
      <c r="F1203" s="5"/>
      <c r="G1203" s="5"/>
      <c r="H1203" s="5"/>
      <c r="I1203" s="3"/>
      <c r="J1203" s="3"/>
      <c r="K1203" s="3"/>
      <c r="L1203" s="3"/>
      <c r="M1203" s="3"/>
      <c r="N1203" s="3"/>
      <c r="O1203" s="3"/>
      <c r="P1203" s="3"/>
      <c r="Q1203" s="3"/>
      <c r="R1203" s="3"/>
      <c r="S1203" s="3"/>
      <c r="T1203" s="3"/>
      <c r="U1203" s="3"/>
      <c r="V1203" s="3"/>
      <c r="W1203" s="3"/>
      <c r="X1203" s="3"/>
      <c r="Y1203" s="3"/>
    </row>
    <row r="1204">
      <c r="A1204" s="5"/>
      <c r="B1204" s="5"/>
      <c r="C1204" s="5"/>
      <c r="D1204" s="5"/>
      <c r="E1204" s="3"/>
      <c r="F1204" s="5"/>
      <c r="G1204" s="5"/>
      <c r="H1204" s="5"/>
      <c r="I1204" s="3"/>
      <c r="J1204" s="3"/>
      <c r="K1204" s="3"/>
      <c r="L1204" s="3"/>
      <c r="M1204" s="3"/>
      <c r="N1204" s="3"/>
      <c r="O1204" s="3"/>
      <c r="P1204" s="3"/>
      <c r="Q1204" s="3"/>
      <c r="R1204" s="3"/>
      <c r="S1204" s="3"/>
      <c r="T1204" s="3"/>
      <c r="U1204" s="3"/>
      <c r="V1204" s="3"/>
      <c r="W1204" s="3"/>
      <c r="X1204" s="3"/>
      <c r="Y1204" s="3"/>
    </row>
    <row r="1205">
      <c r="A1205" s="5"/>
      <c r="B1205" s="5"/>
      <c r="C1205" s="5"/>
      <c r="D1205" s="5"/>
      <c r="E1205" s="3"/>
      <c r="F1205" s="5"/>
      <c r="G1205" s="5"/>
      <c r="H1205" s="5"/>
      <c r="I1205" s="3"/>
      <c r="J1205" s="3"/>
      <c r="K1205" s="3"/>
      <c r="L1205" s="3"/>
      <c r="M1205" s="3"/>
      <c r="N1205" s="3"/>
      <c r="O1205" s="3"/>
      <c r="P1205" s="3"/>
      <c r="Q1205" s="3"/>
      <c r="R1205" s="3"/>
      <c r="S1205" s="3"/>
      <c r="T1205" s="3"/>
      <c r="U1205" s="3"/>
      <c r="V1205" s="3"/>
      <c r="W1205" s="3"/>
      <c r="X1205" s="3"/>
      <c r="Y1205" s="3"/>
    </row>
    <row r="1206">
      <c r="A1206" s="5"/>
      <c r="B1206" s="5"/>
      <c r="C1206" s="5"/>
      <c r="D1206" s="5"/>
      <c r="E1206" s="3"/>
      <c r="F1206" s="5"/>
      <c r="G1206" s="5"/>
      <c r="H1206" s="5"/>
      <c r="I1206" s="3"/>
      <c r="J1206" s="3"/>
      <c r="K1206" s="3"/>
      <c r="L1206" s="3"/>
      <c r="M1206" s="3"/>
      <c r="N1206" s="3"/>
      <c r="O1206" s="3"/>
      <c r="P1206" s="3"/>
      <c r="Q1206" s="3"/>
      <c r="R1206" s="3"/>
      <c r="S1206" s="3"/>
      <c r="T1206" s="3"/>
      <c r="U1206" s="3"/>
      <c r="V1206" s="3"/>
      <c r="W1206" s="3"/>
      <c r="X1206" s="3"/>
      <c r="Y1206" s="3"/>
    </row>
    <row r="1207">
      <c r="A1207" s="5"/>
      <c r="B1207" s="5"/>
      <c r="C1207" s="5"/>
      <c r="D1207" s="5"/>
      <c r="E1207" s="3"/>
      <c r="F1207" s="5"/>
      <c r="G1207" s="5"/>
      <c r="H1207" s="5"/>
      <c r="I1207" s="3"/>
      <c r="J1207" s="3"/>
      <c r="K1207" s="3"/>
      <c r="L1207" s="3"/>
      <c r="M1207" s="3"/>
      <c r="N1207" s="3"/>
      <c r="O1207" s="3"/>
      <c r="P1207" s="3"/>
      <c r="Q1207" s="3"/>
      <c r="R1207" s="3"/>
      <c r="S1207" s="3"/>
      <c r="T1207" s="3"/>
      <c r="U1207" s="3"/>
      <c r="V1207" s="3"/>
      <c r="W1207" s="3"/>
      <c r="X1207" s="3"/>
      <c r="Y1207" s="3"/>
    </row>
    <row r="1208">
      <c r="A1208" s="5"/>
      <c r="B1208" s="5"/>
      <c r="C1208" s="5"/>
      <c r="D1208" s="5"/>
      <c r="E1208" s="3"/>
      <c r="F1208" s="5"/>
      <c r="G1208" s="5"/>
      <c r="H1208" s="5"/>
      <c r="I1208" s="3"/>
      <c r="J1208" s="3"/>
      <c r="K1208" s="3"/>
      <c r="L1208" s="3"/>
      <c r="M1208" s="3"/>
      <c r="N1208" s="3"/>
      <c r="O1208" s="3"/>
      <c r="P1208" s="3"/>
      <c r="Q1208" s="3"/>
      <c r="R1208" s="3"/>
      <c r="S1208" s="3"/>
      <c r="T1208" s="3"/>
      <c r="U1208" s="3"/>
      <c r="V1208" s="3"/>
      <c r="W1208" s="3"/>
      <c r="X1208" s="3"/>
      <c r="Y1208" s="3"/>
    </row>
    <row r="1209">
      <c r="A1209" s="5"/>
      <c r="B1209" s="5"/>
      <c r="C1209" s="5"/>
      <c r="D1209" s="5"/>
      <c r="E1209" s="3"/>
      <c r="F1209" s="5"/>
      <c r="G1209" s="5"/>
      <c r="H1209" s="5"/>
      <c r="I1209" s="3"/>
      <c r="J1209" s="3"/>
      <c r="K1209" s="3"/>
      <c r="L1209" s="3"/>
      <c r="M1209" s="3"/>
      <c r="N1209" s="3"/>
      <c r="O1209" s="3"/>
      <c r="P1209" s="3"/>
      <c r="Q1209" s="3"/>
      <c r="R1209" s="3"/>
      <c r="S1209" s="3"/>
      <c r="T1209" s="3"/>
      <c r="U1209" s="3"/>
      <c r="V1209" s="3"/>
      <c r="W1209" s="3"/>
      <c r="X1209" s="3"/>
      <c r="Y1209" s="3"/>
    </row>
    <row r="1210">
      <c r="A1210" s="5"/>
      <c r="B1210" s="5"/>
      <c r="C1210" s="5"/>
      <c r="D1210" s="5"/>
      <c r="E1210" s="3"/>
      <c r="F1210" s="5"/>
      <c r="G1210" s="5"/>
      <c r="H1210" s="5"/>
      <c r="I1210" s="3"/>
      <c r="J1210" s="3"/>
      <c r="K1210" s="3"/>
      <c r="L1210" s="3"/>
      <c r="M1210" s="3"/>
      <c r="N1210" s="3"/>
      <c r="O1210" s="3"/>
      <c r="P1210" s="3"/>
      <c r="Q1210" s="3"/>
      <c r="R1210" s="3"/>
      <c r="S1210" s="3"/>
      <c r="T1210" s="3"/>
      <c r="U1210" s="3"/>
      <c r="V1210" s="3"/>
      <c r="W1210" s="3"/>
      <c r="X1210" s="3"/>
      <c r="Y1210" s="3"/>
    </row>
    <row r="1211">
      <c r="A1211" s="5"/>
      <c r="B1211" s="5"/>
      <c r="C1211" s="5"/>
      <c r="D1211" s="5"/>
      <c r="E1211" s="3"/>
      <c r="F1211" s="5"/>
      <c r="G1211" s="5"/>
      <c r="H1211" s="5"/>
      <c r="I1211" s="3"/>
      <c r="J1211" s="3"/>
      <c r="K1211" s="3"/>
      <c r="L1211" s="3"/>
      <c r="M1211" s="3"/>
      <c r="N1211" s="3"/>
      <c r="O1211" s="3"/>
      <c r="P1211" s="3"/>
      <c r="Q1211" s="3"/>
      <c r="R1211" s="3"/>
      <c r="S1211" s="3"/>
      <c r="T1211" s="3"/>
      <c r="U1211" s="3"/>
      <c r="V1211" s="3"/>
      <c r="W1211" s="3"/>
      <c r="X1211" s="3"/>
      <c r="Y1211" s="3"/>
    </row>
    <row r="1212">
      <c r="A1212" s="5"/>
      <c r="B1212" s="5"/>
      <c r="C1212" s="5"/>
      <c r="D1212" s="5"/>
      <c r="E1212" s="3"/>
      <c r="F1212" s="5"/>
      <c r="G1212" s="5"/>
      <c r="H1212" s="5"/>
      <c r="I1212" s="3"/>
      <c r="J1212" s="3"/>
      <c r="K1212" s="3"/>
      <c r="L1212" s="3"/>
      <c r="M1212" s="3"/>
      <c r="N1212" s="3"/>
      <c r="O1212" s="3"/>
      <c r="P1212" s="3"/>
      <c r="Q1212" s="3"/>
      <c r="R1212" s="3"/>
      <c r="S1212" s="3"/>
      <c r="T1212" s="3"/>
      <c r="U1212" s="3"/>
      <c r="V1212" s="3"/>
      <c r="W1212" s="3"/>
      <c r="X1212" s="3"/>
      <c r="Y1212" s="3"/>
    </row>
    <row r="1213">
      <c r="A1213" s="5"/>
      <c r="B1213" s="5"/>
      <c r="C1213" s="5"/>
      <c r="D1213" s="5"/>
      <c r="E1213" s="3"/>
      <c r="F1213" s="5"/>
      <c r="G1213" s="5"/>
      <c r="H1213" s="5"/>
      <c r="I1213" s="3"/>
      <c r="J1213" s="3"/>
      <c r="K1213" s="3"/>
      <c r="L1213" s="3"/>
      <c r="M1213" s="3"/>
      <c r="N1213" s="3"/>
      <c r="O1213" s="3"/>
      <c r="P1213" s="3"/>
      <c r="Q1213" s="3"/>
      <c r="R1213" s="3"/>
      <c r="S1213" s="3"/>
      <c r="T1213" s="3"/>
      <c r="U1213" s="3"/>
      <c r="V1213" s="3"/>
      <c r="W1213" s="3"/>
      <c r="X1213" s="3"/>
      <c r="Y1213" s="3"/>
    </row>
    <row r="1214">
      <c r="A1214" s="5"/>
      <c r="B1214" s="5"/>
      <c r="C1214" s="5"/>
      <c r="D1214" s="5"/>
      <c r="E1214" s="3"/>
      <c r="F1214" s="5"/>
      <c r="G1214" s="5"/>
      <c r="H1214" s="5"/>
      <c r="I1214" s="3"/>
      <c r="J1214" s="3"/>
      <c r="K1214" s="3"/>
      <c r="L1214" s="3"/>
      <c r="M1214" s="3"/>
      <c r="N1214" s="3"/>
      <c r="O1214" s="3"/>
      <c r="P1214" s="3"/>
      <c r="Q1214" s="3"/>
      <c r="R1214" s="3"/>
      <c r="S1214" s="3"/>
      <c r="T1214" s="3"/>
      <c r="U1214" s="3"/>
      <c r="V1214" s="3"/>
      <c r="W1214" s="3"/>
      <c r="X1214" s="3"/>
      <c r="Y1214" s="3"/>
    </row>
    <row r="1215">
      <c r="A1215" s="5"/>
      <c r="B1215" s="5"/>
      <c r="C1215" s="5"/>
      <c r="D1215" s="5"/>
      <c r="E1215" s="3"/>
      <c r="F1215" s="5"/>
      <c r="G1215" s="5"/>
      <c r="H1215" s="5"/>
      <c r="I1215" s="3"/>
      <c r="J1215" s="3"/>
      <c r="K1215" s="3"/>
      <c r="L1215" s="3"/>
      <c r="M1215" s="3"/>
      <c r="N1215" s="3"/>
      <c r="O1215" s="3"/>
      <c r="P1215" s="3"/>
      <c r="Q1215" s="3"/>
      <c r="R1215" s="3"/>
      <c r="S1215" s="3"/>
      <c r="T1215" s="3"/>
      <c r="U1215" s="3"/>
      <c r="V1215" s="3"/>
      <c r="W1215" s="3"/>
      <c r="X1215" s="3"/>
      <c r="Y1215" s="3"/>
    </row>
    <row r="1216">
      <c r="A1216" s="5"/>
      <c r="B1216" s="5"/>
      <c r="C1216" s="5"/>
      <c r="D1216" s="5"/>
      <c r="E1216" s="3"/>
      <c r="F1216" s="5"/>
      <c r="G1216" s="5"/>
      <c r="H1216" s="5"/>
      <c r="I1216" s="3"/>
      <c r="J1216" s="3"/>
      <c r="K1216" s="3"/>
      <c r="L1216" s="3"/>
      <c r="M1216" s="3"/>
      <c r="N1216" s="3"/>
      <c r="O1216" s="3"/>
      <c r="P1216" s="3"/>
      <c r="Q1216" s="3"/>
      <c r="R1216" s="3"/>
      <c r="S1216" s="3"/>
      <c r="T1216" s="3"/>
      <c r="U1216" s="3"/>
      <c r="V1216" s="3"/>
      <c r="W1216" s="3"/>
      <c r="X1216" s="3"/>
      <c r="Y1216" s="3"/>
    </row>
    <row r="1217">
      <c r="A1217" s="5"/>
      <c r="B1217" s="5"/>
      <c r="C1217" s="5"/>
      <c r="D1217" s="5"/>
      <c r="E1217" s="3"/>
      <c r="F1217" s="5"/>
      <c r="G1217" s="5"/>
      <c r="H1217" s="5"/>
      <c r="I1217" s="3"/>
      <c r="J1217" s="3"/>
      <c r="K1217" s="3"/>
      <c r="L1217" s="3"/>
      <c r="M1217" s="3"/>
      <c r="N1217" s="3"/>
      <c r="O1217" s="3"/>
      <c r="P1217" s="3"/>
      <c r="Q1217" s="3"/>
      <c r="R1217" s="3"/>
      <c r="S1217" s="3"/>
      <c r="T1217" s="3"/>
      <c r="U1217" s="3"/>
      <c r="V1217" s="3"/>
      <c r="W1217" s="3"/>
      <c r="X1217" s="3"/>
      <c r="Y1217" s="3"/>
    </row>
    <row r="1218">
      <c r="A1218" s="5"/>
      <c r="B1218" s="5"/>
      <c r="C1218" s="5"/>
      <c r="D1218" s="5"/>
      <c r="E1218" s="3"/>
      <c r="F1218" s="5"/>
      <c r="G1218" s="5"/>
      <c r="H1218" s="5"/>
      <c r="I1218" s="3"/>
      <c r="J1218" s="3"/>
      <c r="K1218" s="3"/>
      <c r="L1218" s="3"/>
      <c r="M1218" s="3"/>
      <c r="N1218" s="3"/>
      <c r="O1218" s="3"/>
      <c r="P1218" s="3"/>
      <c r="Q1218" s="3"/>
      <c r="R1218" s="3"/>
      <c r="S1218" s="3"/>
      <c r="T1218" s="3"/>
      <c r="U1218" s="3"/>
      <c r="V1218" s="3"/>
      <c r="W1218" s="3"/>
      <c r="X1218" s="3"/>
      <c r="Y1218" s="3"/>
    </row>
    <row r="1219">
      <c r="A1219" s="5"/>
      <c r="B1219" s="5"/>
      <c r="C1219" s="5"/>
      <c r="D1219" s="5"/>
      <c r="E1219" s="3"/>
      <c r="F1219" s="5"/>
      <c r="G1219" s="5"/>
      <c r="H1219" s="5"/>
      <c r="I1219" s="3"/>
      <c r="J1219" s="3"/>
      <c r="K1219" s="3"/>
      <c r="L1219" s="3"/>
      <c r="M1219" s="3"/>
      <c r="N1219" s="3"/>
      <c r="O1219" s="3"/>
      <c r="P1219" s="3"/>
      <c r="Q1219" s="3"/>
      <c r="R1219" s="3"/>
      <c r="S1219" s="3"/>
      <c r="T1219" s="3"/>
      <c r="U1219" s="3"/>
      <c r="V1219" s="3"/>
      <c r="W1219" s="3"/>
      <c r="X1219" s="3"/>
      <c r="Y1219" s="3"/>
    </row>
    <row r="1220">
      <c r="A1220" s="5"/>
      <c r="B1220" s="5"/>
      <c r="C1220" s="5"/>
      <c r="D1220" s="5"/>
      <c r="E1220" s="3"/>
      <c r="F1220" s="5"/>
      <c r="G1220" s="5"/>
      <c r="H1220" s="5"/>
      <c r="I1220" s="3"/>
      <c r="J1220" s="3"/>
      <c r="K1220" s="3"/>
      <c r="L1220" s="3"/>
      <c r="M1220" s="3"/>
      <c r="N1220" s="3"/>
      <c r="O1220" s="3"/>
      <c r="P1220" s="3"/>
      <c r="Q1220" s="3"/>
      <c r="R1220" s="3"/>
      <c r="S1220" s="3"/>
      <c r="T1220" s="3"/>
      <c r="U1220" s="3"/>
      <c r="V1220" s="3"/>
      <c r="W1220" s="3"/>
      <c r="X1220" s="3"/>
      <c r="Y1220" s="3"/>
    </row>
    <row r="1221">
      <c r="A1221" s="5"/>
      <c r="B1221" s="5"/>
      <c r="C1221" s="5"/>
      <c r="D1221" s="5"/>
      <c r="E1221" s="3"/>
      <c r="F1221" s="5"/>
      <c r="G1221" s="5"/>
      <c r="H1221" s="5"/>
      <c r="I1221" s="3"/>
      <c r="J1221" s="3"/>
      <c r="K1221" s="3"/>
      <c r="L1221" s="3"/>
      <c r="M1221" s="3"/>
      <c r="N1221" s="3"/>
      <c r="O1221" s="3"/>
      <c r="P1221" s="3"/>
      <c r="Q1221" s="3"/>
      <c r="R1221" s="3"/>
      <c r="S1221" s="3"/>
      <c r="T1221" s="3"/>
      <c r="U1221" s="3"/>
      <c r="V1221" s="3"/>
      <c r="W1221" s="3"/>
      <c r="X1221" s="3"/>
      <c r="Y1221" s="3"/>
    </row>
    <row r="1222">
      <c r="A1222" s="5"/>
      <c r="B1222" s="5"/>
      <c r="C1222" s="5"/>
      <c r="D1222" s="5"/>
      <c r="E1222" s="3"/>
      <c r="F1222" s="5"/>
      <c r="G1222" s="5"/>
      <c r="H1222" s="5"/>
      <c r="I1222" s="3"/>
      <c r="J1222" s="3"/>
      <c r="K1222" s="3"/>
      <c r="L1222" s="3"/>
      <c r="M1222" s="3"/>
      <c r="N1222" s="3"/>
      <c r="O1222" s="3"/>
      <c r="P1222" s="3"/>
      <c r="Q1222" s="3"/>
      <c r="R1222" s="3"/>
      <c r="S1222" s="3"/>
      <c r="T1222" s="3"/>
      <c r="U1222" s="3"/>
      <c r="V1222" s="3"/>
      <c r="W1222" s="3"/>
      <c r="X1222" s="3"/>
      <c r="Y1222" s="3"/>
    </row>
    <row r="1223">
      <c r="A1223" s="5"/>
      <c r="B1223" s="5"/>
      <c r="C1223" s="5"/>
      <c r="D1223" s="5"/>
      <c r="E1223" s="3"/>
      <c r="F1223" s="5"/>
      <c r="G1223" s="5"/>
      <c r="H1223" s="5"/>
      <c r="I1223" s="3"/>
      <c r="J1223" s="3"/>
      <c r="K1223" s="3"/>
      <c r="L1223" s="3"/>
      <c r="M1223" s="3"/>
      <c r="N1223" s="3"/>
      <c r="O1223" s="3"/>
      <c r="P1223" s="3"/>
      <c r="Q1223" s="3"/>
      <c r="R1223" s="3"/>
      <c r="S1223" s="3"/>
      <c r="T1223" s="3"/>
      <c r="U1223" s="3"/>
      <c r="V1223" s="3"/>
      <c r="W1223" s="3"/>
      <c r="X1223" s="3"/>
      <c r="Y1223" s="3"/>
    </row>
    <row r="1224">
      <c r="A1224" s="5"/>
      <c r="B1224" s="5"/>
      <c r="C1224" s="5"/>
      <c r="D1224" s="5"/>
      <c r="E1224" s="3"/>
      <c r="F1224" s="5"/>
      <c r="G1224" s="5"/>
      <c r="H1224" s="5"/>
      <c r="I1224" s="3"/>
      <c r="J1224" s="3"/>
      <c r="K1224" s="3"/>
      <c r="L1224" s="3"/>
      <c r="M1224" s="3"/>
      <c r="N1224" s="3"/>
      <c r="O1224" s="3"/>
      <c r="P1224" s="3"/>
      <c r="Q1224" s="3"/>
      <c r="R1224" s="3"/>
      <c r="S1224" s="3"/>
      <c r="T1224" s="3"/>
      <c r="U1224" s="3"/>
      <c r="V1224" s="3"/>
      <c r="W1224" s="3"/>
      <c r="X1224" s="3"/>
      <c r="Y1224" s="3"/>
    </row>
    <row r="1225">
      <c r="A1225" s="5"/>
      <c r="B1225" s="5"/>
      <c r="C1225" s="5"/>
      <c r="D1225" s="5"/>
      <c r="E1225" s="3"/>
      <c r="F1225" s="5"/>
      <c r="G1225" s="5"/>
      <c r="H1225" s="5"/>
      <c r="I1225" s="3"/>
      <c r="J1225" s="3"/>
      <c r="K1225" s="3"/>
      <c r="L1225" s="3"/>
      <c r="M1225" s="3"/>
      <c r="N1225" s="3"/>
      <c r="O1225" s="3"/>
      <c r="P1225" s="3"/>
      <c r="Q1225" s="3"/>
      <c r="R1225" s="3"/>
      <c r="S1225" s="3"/>
      <c r="T1225" s="3"/>
      <c r="U1225" s="3"/>
      <c r="V1225" s="3"/>
      <c r="W1225" s="3"/>
      <c r="X1225" s="3"/>
      <c r="Y1225" s="3"/>
    </row>
    <row r="1226">
      <c r="A1226" s="5"/>
      <c r="B1226" s="5"/>
      <c r="C1226" s="5"/>
      <c r="D1226" s="5"/>
      <c r="E1226" s="3"/>
      <c r="F1226" s="5"/>
      <c r="G1226" s="5"/>
      <c r="H1226" s="5"/>
      <c r="I1226" s="3"/>
      <c r="J1226" s="3"/>
      <c r="K1226" s="3"/>
      <c r="L1226" s="3"/>
      <c r="M1226" s="3"/>
      <c r="N1226" s="3"/>
      <c r="O1226" s="3"/>
      <c r="P1226" s="3"/>
      <c r="Q1226" s="3"/>
      <c r="R1226" s="3"/>
      <c r="S1226" s="3"/>
      <c r="T1226" s="3"/>
      <c r="U1226" s="3"/>
      <c r="V1226" s="3"/>
      <c r="W1226" s="3"/>
      <c r="X1226" s="3"/>
      <c r="Y1226" s="3"/>
    </row>
    <row r="1227">
      <c r="A1227" s="5"/>
      <c r="B1227" s="5"/>
      <c r="C1227" s="5"/>
      <c r="D1227" s="5"/>
      <c r="E1227" s="3"/>
      <c r="F1227" s="5"/>
      <c r="G1227" s="5"/>
      <c r="H1227" s="5"/>
      <c r="I1227" s="3"/>
      <c r="J1227" s="3"/>
      <c r="K1227" s="3"/>
      <c r="L1227" s="3"/>
      <c r="M1227" s="3"/>
      <c r="N1227" s="3"/>
      <c r="O1227" s="3"/>
      <c r="P1227" s="3"/>
      <c r="Q1227" s="3"/>
      <c r="R1227" s="3"/>
      <c r="S1227" s="3"/>
      <c r="T1227" s="3"/>
      <c r="U1227" s="3"/>
      <c r="V1227" s="3"/>
      <c r="W1227" s="3"/>
      <c r="X1227" s="3"/>
      <c r="Y1227" s="3"/>
    </row>
    <row r="1228">
      <c r="A1228" s="5"/>
      <c r="B1228" s="5"/>
      <c r="C1228" s="5"/>
      <c r="D1228" s="5"/>
      <c r="E1228" s="3"/>
      <c r="F1228" s="5"/>
      <c r="G1228" s="5"/>
      <c r="H1228" s="5"/>
      <c r="I1228" s="3"/>
      <c r="J1228" s="3"/>
      <c r="K1228" s="3"/>
      <c r="L1228" s="3"/>
      <c r="M1228" s="3"/>
      <c r="N1228" s="3"/>
      <c r="O1228" s="3"/>
      <c r="P1228" s="3"/>
      <c r="Q1228" s="3"/>
      <c r="R1228" s="3"/>
      <c r="S1228" s="3"/>
      <c r="T1228" s="3"/>
      <c r="U1228" s="3"/>
      <c r="V1228" s="3"/>
      <c r="W1228" s="3"/>
      <c r="X1228" s="3"/>
      <c r="Y1228" s="3"/>
    </row>
    <row r="1229">
      <c r="A1229" s="5"/>
      <c r="B1229" s="5"/>
      <c r="C1229" s="5"/>
      <c r="D1229" s="5"/>
      <c r="E1229" s="3"/>
      <c r="F1229" s="5"/>
      <c r="G1229" s="5"/>
      <c r="H1229" s="5"/>
      <c r="I1229" s="3"/>
      <c r="J1229" s="3"/>
      <c r="K1229" s="3"/>
      <c r="L1229" s="3"/>
      <c r="M1229" s="3"/>
      <c r="N1229" s="3"/>
      <c r="O1229" s="3"/>
      <c r="P1229" s="3"/>
      <c r="Q1229" s="3"/>
      <c r="R1229" s="3"/>
      <c r="S1229" s="3"/>
      <c r="T1229" s="3"/>
      <c r="U1229" s="3"/>
      <c r="V1229" s="3"/>
      <c r="W1229" s="3"/>
      <c r="X1229" s="3"/>
      <c r="Y1229" s="3"/>
    </row>
    <row r="1230">
      <c r="A1230" s="5"/>
      <c r="B1230" s="5"/>
      <c r="C1230" s="5"/>
      <c r="D1230" s="5"/>
      <c r="E1230" s="3"/>
      <c r="F1230" s="5"/>
      <c r="G1230" s="5"/>
      <c r="H1230" s="5"/>
      <c r="I1230" s="3"/>
      <c r="J1230" s="3"/>
      <c r="K1230" s="3"/>
      <c r="L1230" s="3"/>
      <c r="M1230" s="3"/>
      <c r="N1230" s="3"/>
      <c r="O1230" s="3"/>
      <c r="P1230" s="3"/>
      <c r="Q1230" s="3"/>
      <c r="R1230" s="3"/>
      <c r="S1230" s="3"/>
      <c r="T1230" s="3"/>
      <c r="U1230" s="3"/>
      <c r="V1230" s="3"/>
      <c r="W1230" s="3"/>
      <c r="X1230" s="3"/>
      <c r="Y1230" s="3"/>
    </row>
    <row r="1231">
      <c r="A1231" s="5"/>
      <c r="B1231" s="5"/>
      <c r="C1231" s="5"/>
      <c r="D1231" s="5"/>
      <c r="E1231" s="3"/>
      <c r="F1231" s="5"/>
      <c r="G1231" s="5"/>
      <c r="H1231" s="5"/>
      <c r="I1231" s="3"/>
      <c r="J1231" s="3"/>
      <c r="K1231" s="3"/>
      <c r="L1231" s="3"/>
      <c r="M1231" s="3"/>
      <c r="N1231" s="3"/>
      <c r="O1231" s="3"/>
      <c r="P1231" s="3"/>
      <c r="Q1231" s="3"/>
      <c r="R1231" s="3"/>
      <c r="S1231" s="3"/>
      <c r="T1231" s="3"/>
      <c r="U1231" s="3"/>
      <c r="V1231" s="3"/>
      <c r="W1231" s="3"/>
      <c r="X1231" s="3"/>
      <c r="Y1231" s="3"/>
    </row>
    <row r="1232">
      <c r="A1232" s="5"/>
      <c r="B1232" s="5"/>
      <c r="C1232" s="5"/>
      <c r="D1232" s="5"/>
      <c r="E1232" s="3"/>
      <c r="F1232" s="5"/>
      <c r="G1232" s="5"/>
      <c r="H1232" s="5"/>
      <c r="I1232" s="3"/>
      <c r="J1232" s="3"/>
      <c r="K1232" s="3"/>
      <c r="L1232" s="3"/>
      <c r="M1232" s="3"/>
      <c r="N1232" s="3"/>
      <c r="O1232" s="3"/>
      <c r="P1232" s="3"/>
      <c r="Q1232" s="3"/>
      <c r="R1232" s="3"/>
      <c r="S1232" s="3"/>
      <c r="T1232" s="3"/>
      <c r="U1232" s="3"/>
      <c r="V1232" s="3"/>
      <c r="W1232" s="3"/>
      <c r="X1232" s="3"/>
      <c r="Y1232" s="3"/>
    </row>
    <row r="1233">
      <c r="A1233" s="5"/>
      <c r="B1233" s="5"/>
      <c r="C1233" s="5"/>
      <c r="D1233" s="5"/>
      <c r="E1233" s="3"/>
      <c r="F1233" s="5"/>
      <c r="G1233" s="5"/>
      <c r="H1233" s="5"/>
      <c r="I1233" s="3"/>
      <c r="J1233" s="3"/>
      <c r="K1233" s="3"/>
      <c r="L1233" s="3"/>
      <c r="M1233" s="3"/>
      <c r="N1233" s="3"/>
      <c r="O1233" s="3"/>
      <c r="P1233" s="3"/>
      <c r="Q1233" s="3"/>
      <c r="R1233" s="3"/>
      <c r="S1233" s="3"/>
      <c r="T1233" s="3"/>
      <c r="U1233" s="3"/>
      <c r="V1233" s="3"/>
      <c r="W1233" s="3"/>
      <c r="X1233" s="3"/>
      <c r="Y1233" s="3"/>
    </row>
    <row r="1234">
      <c r="A1234" s="5"/>
      <c r="B1234" s="5"/>
      <c r="C1234" s="5"/>
      <c r="D1234" s="5"/>
      <c r="E1234" s="3"/>
      <c r="F1234" s="5"/>
      <c r="G1234" s="5"/>
      <c r="H1234" s="5"/>
      <c r="I1234" s="3"/>
      <c r="J1234" s="3"/>
      <c r="K1234" s="3"/>
      <c r="L1234" s="3"/>
      <c r="M1234" s="3"/>
      <c r="N1234" s="3"/>
      <c r="O1234" s="3"/>
      <c r="P1234" s="3"/>
      <c r="Q1234" s="3"/>
      <c r="R1234" s="3"/>
      <c r="S1234" s="3"/>
      <c r="T1234" s="3"/>
      <c r="U1234" s="3"/>
      <c r="V1234" s="3"/>
      <c r="W1234" s="3"/>
      <c r="X1234" s="3"/>
      <c r="Y1234" s="3"/>
    </row>
    <row r="1235">
      <c r="A1235" s="5"/>
      <c r="B1235" s="5"/>
      <c r="C1235" s="5"/>
      <c r="D1235" s="5"/>
      <c r="E1235" s="3"/>
      <c r="F1235" s="5"/>
      <c r="G1235" s="5"/>
      <c r="H1235" s="5"/>
      <c r="I1235" s="3"/>
      <c r="J1235" s="3"/>
      <c r="K1235" s="3"/>
      <c r="L1235" s="3"/>
      <c r="M1235" s="3"/>
      <c r="N1235" s="3"/>
      <c r="O1235" s="3"/>
      <c r="P1235" s="3"/>
      <c r="Q1235" s="3"/>
      <c r="R1235" s="3"/>
      <c r="S1235" s="3"/>
      <c r="T1235" s="3"/>
      <c r="U1235" s="3"/>
      <c r="V1235" s="3"/>
      <c r="W1235" s="3"/>
      <c r="X1235" s="3"/>
      <c r="Y1235" s="3"/>
    </row>
    <row r="1236">
      <c r="A1236" s="5"/>
      <c r="B1236" s="5"/>
      <c r="C1236" s="5"/>
      <c r="D1236" s="5"/>
      <c r="E1236" s="3"/>
      <c r="F1236" s="5"/>
      <c r="G1236" s="5"/>
      <c r="H1236" s="5"/>
      <c r="I1236" s="3"/>
      <c r="J1236" s="3"/>
      <c r="K1236" s="3"/>
      <c r="L1236" s="3"/>
      <c r="M1236" s="3"/>
      <c r="N1236" s="3"/>
      <c r="O1236" s="3"/>
      <c r="P1236" s="3"/>
      <c r="Q1236" s="3"/>
      <c r="R1236" s="3"/>
      <c r="S1236" s="3"/>
      <c r="T1236" s="3"/>
      <c r="U1236" s="3"/>
      <c r="V1236" s="3"/>
      <c r="W1236" s="3"/>
      <c r="X1236" s="3"/>
      <c r="Y1236" s="3"/>
    </row>
    <row r="1237">
      <c r="A1237" s="5"/>
      <c r="B1237" s="5"/>
      <c r="C1237" s="5"/>
      <c r="D1237" s="5"/>
      <c r="E1237" s="3"/>
      <c r="F1237" s="5"/>
      <c r="G1237" s="5"/>
      <c r="H1237" s="5"/>
      <c r="I1237" s="3"/>
      <c r="J1237" s="3"/>
      <c r="K1237" s="3"/>
      <c r="L1237" s="3"/>
      <c r="M1237" s="3"/>
      <c r="N1237" s="3"/>
      <c r="O1237" s="3"/>
      <c r="P1237" s="3"/>
      <c r="Q1237" s="3"/>
      <c r="R1237" s="3"/>
      <c r="S1237" s="3"/>
      <c r="T1237" s="3"/>
      <c r="U1237" s="3"/>
      <c r="V1237" s="3"/>
      <c r="W1237" s="3"/>
      <c r="X1237" s="3"/>
      <c r="Y1237" s="3"/>
    </row>
    <row r="1238">
      <c r="A1238" s="5"/>
      <c r="B1238" s="5"/>
      <c r="C1238" s="5"/>
      <c r="D1238" s="5"/>
      <c r="E1238" s="3"/>
      <c r="F1238" s="5"/>
      <c r="G1238" s="5"/>
      <c r="H1238" s="5"/>
      <c r="I1238" s="3"/>
      <c r="J1238" s="3"/>
      <c r="K1238" s="3"/>
      <c r="L1238" s="3"/>
      <c r="M1238" s="3"/>
      <c r="N1238" s="3"/>
      <c r="O1238" s="3"/>
      <c r="P1238" s="3"/>
      <c r="Q1238" s="3"/>
      <c r="R1238" s="3"/>
      <c r="S1238" s="3"/>
      <c r="T1238" s="3"/>
      <c r="U1238" s="3"/>
      <c r="V1238" s="3"/>
      <c r="W1238" s="3"/>
      <c r="X1238" s="3"/>
      <c r="Y1238" s="3"/>
    </row>
    <row r="1239">
      <c r="A1239" s="5"/>
      <c r="B1239" s="5"/>
      <c r="C1239" s="5"/>
      <c r="D1239" s="5"/>
      <c r="E1239" s="3"/>
      <c r="F1239" s="5"/>
      <c r="G1239" s="5"/>
      <c r="H1239" s="5"/>
      <c r="I1239" s="3"/>
      <c r="J1239" s="3"/>
      <c r="K1239" s="3"/>
      <c r="L1239" s="3"/>
      <c r="M1239" s="3"/>
      <c r="N1239" s="3"/>
      <c r="O1239" s="3"/>
      <c r="P1239" s="3"/>
      <c r="Q1239" s="3"/>
      <c r="R1239" s="3"/>
      <c r="S1239" s="3"/>
      <c r="T1239" s="3"/>
      <c r="U1239" s="3"/>
      <c r="V1239" s="3"/>
      <c r="W1239" s="3"/>
      <c r="X1239" s="3"/>
      <c r="Y1239" s="3"/>
    </row>
    <row r="1240">
      <c r="A1240" s="5"/>
      <c r="B1240" s="5"/>
      <c r="C1240" s="5"/>
      <c r="D1240" s="5"/>
      <c r="E1240" s="3"/>
      <c r="F1240" s="5"/>
      <c r="G1240" s="5"/>
      <c r="H1240" s="5"/>
      <c r="I1240" s="3"/>
      <c r="J1240" s="3"/>
      <c r="K1240" s="3"/>
      <c r="L1240" s="3"/>
      <c r="M1240" s="3"/>
      <c r="N1240" s="3"/>
      <c r="O1240" s="3"/>
      <c r="P1240" s="3"/>
      <c r="Q1240" s="3"/>
      <c r="R1240" s="3"/>
      <c r="S1240" s="3"/>
      <c r="T1240" s="3"/>
      <c r="U1240" s="3"/>
      <c r="V1240" s="3"/>
      <c r="W1240" s="3"/>
      <c r="X1240" s="3"/>
      <c r="Y1240" s="3"/>
    </row>
    <row r="1241">
      <c r="A1241" s="5"/>
      <c r="B1241" s="5"/>
      <c r="C1241" s="5"/>
      <c r="D1241" s="5"/>
      <c r="E1241" s="3"/>
      <c r="F1241" s="5"/>
      <c r="G1241" s="5"/>
      <c r="H1241" s="5"/>
      <c r="I1241" s="3"/>
      <c r="J1241" s="3"/>
      <c r="K1241" s="3"/>
      <c r="L1241" s="3"/>
      <c r="M1241" s="3"/>
      <c r="N1241" s="3"/>
      <c r="O1241" s="3"/>
      <c r="P1241" s="3"/>
      <c r="Q1241" s="3"/>
      <c r="R1241" s="3"/>
      <c r="S1241" s="3"/>
      <c r="T1241" s="3"/>
      <c r="U1241" s="3"/>
      <c r="V1241" s="3"/>
      <c r="W1241" s="3"/>
      <c r="X1241" s="3"/>
      <c r="Y1241" s="3"/>
    </row>
    <row r="1242">
      <c r="A1242" s="5"/>
      <c r="B1242" s="5"/>
      <c r="C1242" s="5"/>
      <c r="D1242" s="5"/>
      <c r="E1242" s="3"/>
      <c r="F1242" s="5"/>
      <c r="G1242" s="5"/>
      <c r="H1242" s="5"/>
      <c r="I1242" s="3"/>
      <c r="J1242" s="3"/>
      <c r="K1242" s="3"/>
      <c r="L1242" s="3"/>
      <c r="M1242" s="3"/>
      <c r="N1242" s="3"/>
      <c r="O1242" s="3"/>
      <c r="P1242" s="3"/>
      <c r="Q1242" s="3"/>
      <c r="R1242" s="3"/>
      <c r="S1242" s="3"/>
      <c r="T1242" s="3"/>
      <c r="U1242" s="3"/>
      <c r="V1242" s="3"/>
      <c r="W1242" s="3"/>
      <c r="X1242" s="3"/>
      <c r="Y1242" s="3"/>
    </row>
    <row r="1243">
      <c r="A1243" s="5"/>
      <c r="B1243" s="5"/>
      <c r="C1243" s="5"/>
      <c r="D1243" s="5"/>
      <c r="E1243" s="3"/>
      <c r="F1243" s="5"/>
      <c r="G1243" s="5"/>
      <c r="H1243" s="5"/>
      <c r="I1243" s="3"/>
      <c r="J1243" s="3"/>
      <c r="K1243" s="3"/>
      <c r="L1243" s="3"/>
      <c r="M1243" s="3"/>
      <c r="N1243" s="3"/>
      <c r="O1243" s="3"/>
      <c r="P1243" s="3"/>
      <c r="Q1243" s="3"/>
      <c r="R1243" s="3"/>
      <c r="S1243" s="3"/>
      <c r="T1243" s="3"/>
      <c r="U1243" s="3"/>
      <c r="V1243" s="3"/>
      <c r="W1243" s="3"/>
      <c r="X1243" s="3"/>
      <c r="Y1243" s="3"/>
    </row>
    <row r="1244">
      <c r="A1244" s="5"/>
      <c r="B1244" s="5"/>
      <c r="C1244" s="5"/>
      <c r="D1244" s="5"/>
      <c r="E1244" s="3"/>
      <c r="F1244" s="5"/>
      <c r="G1244" s="5"/>
      <c r="H1244" s="5"/>
      <c r="I1244" s="3"/>
      <c r="J1244" s="3"/>
      <c r="K1244" s="3"/>
      <c r="L1244" s="3"/>
      <c r="M1244" s="3"/>
      <c r="N1244" s="3"/>
      <c r="O1244" s="3"/>
      <c r="P1244" s="3"/>
      <c r="Q1244" s="3"/>
      <c r="R1244" s="3"/>
      <c r="S1244" s="3"/>
      <c r="T1244" s="3"/>
      <c r="U1244" s="3"/>
      <c r="V1244" s="3"/>
      <c r="W1244" s="3"/>
      <c r="X1244" s="3"/>
      <c r="Y1244" s="3"/>
    </row>
    <row r="1245">
      <c r="A1245" s="5"/>
      <c r="B1245" s="5"/>
      <c r="C1245" s="5"/>
      <c r="D1245" s="5"/>
      <c r="E1245" s="3"/>
      <c r="F1245" s="5"/>
      <c r="G1245" s="5"/>
      <c r="H1245" s="5"/>
      <c r="I1245" s="3"/>
      <c r="J1245" s="3"/>
      <c r="K1245" s="3"/>
      <c r="L1245" s="3"/>
      <c r="M1245" s="3"/>
      <c r="N1245" s="3"/>
      <c r="O1245" s="3"/>
      <c r="P1245" s="3"/>
      <c r="Q1245" s="3"/>
      <c r="R1245" s="3"/>
      <c r="S1245" s="3"/>
      <c r="T1245" s="3"/>
      <c r="U1245" s="3"/>
      <c r="V1245" s="3"/>
      <c r="W1245" s="3"/>
      <c r="X1245" s="3"/>
      <c r="Y1245" s="3"/>
    </row>
    <row r="1246">
      <c r="A1246" s="5"/>
      <c r="B1246" s="5"/>
      <c r="C1246" s="5"/>
      <c r="D1246" s="5"/>
      <c r="E1246" s="3"/>
      <c r="F1246" s="5"/>
      <c r="G1246" s="5"/>
      <c r="H1246" s="5"/>
      <c r="I1246" s="3"/>
      <c r="J1246" s="3"/>
      <c r="K1246" s="3"/>
      <c r="L1246" s="3"/>
      <c r="M1246" s="3"/>
      <c r="N1246" s="3"/>
      <c r="O1246" s="3"/>
      <c r="P1246" s="3"/>
      <c r="Q1246" s="3"/>
      <c r="R1246" s="3"/>
      <c r="S1246" s="3"/>
      <c r="T1246" s="3"/>
      <c r="U1246" s="3"/>
      <c r="V1246" s="3"/>
      <c r="W1246" s="3"/>
      <c r="X1246" s="3"/>
      <c r="Y1246" s="3"/>
    </row>
    <row r="1247">
      <c r="A1247" s="5"/>
      <c r="B1247" s="5"/>
      <c r="C1247" s="5"/>
      <c r="D1247" s="5"/>
      <c r="E1247" s="3"/>
      <c r="F1247" s="5"/>
      <c r="G1247" s="5"/>
      <c r="H1247" s="5"/>
      <c r="I1247" s="3"/>
      <c r="J1247" s="3"/>
      <c r="K1247" s="3"/>
      <c r="L1247" s="3"/>
      <c r="M1247" s="3"/>
      <c r="N1247" s="3"/>
      <c r="O1247" s="3"/>
      <c r="P1247" s="3"/>
      <c r="Q1247" s="3"/>
      <c r="R1247" s="3"/>
      <c r="S1247" s="3"/>
      <c r="T1247" s="3"/>
      <c r="U1247" s="3"/>
      <c r="V1247" s="3"/>
      <c r="W1247" s="3"/>
      <c r="X1247" s="3"/>
      <c r="Y1247" s="3"/>
    </row>
    <row r="1248">
      <c r="A1248" s="5"/>
      <c r="B1248" s="5"/>
      <c r="C1248" s="5"/>
      <c r="D1248" s="5"/>
      <c r="E1248" s="3"/>
      <c r="F1248" s="5"/>
      <c r="G1248" s="5"/>
      <c r="H1248" s="5"/>
      <c r="I1248" s="3"/>
      <c r="J1248" s="3"/>
      <c r="K1248" s="3"/>
      <c r="L1248" s="3"/>
      <c r="M1248" s="3"/>
      <c r="N1248" s="3"/>
      <c r="O1248" s="3"/>
      <c r="P1248" s="3"/>
      <c r="Q1248" s="3"/>
      <c r="R1248" s="3"/>
      <c r="S1248" s="3"/>
      <c r="T1248" s="3"/>
      <c r="U1248" s="3"/>
      <c r="V1248" s="3"/>
      <c r="W1248" s="3"/>
      <c r="X1248" s="3"/>
      <c r="Y1248" s="3"/>
    </row>
    <row r="1249">
      <c r="A1249" s="5"/>
      <c r="B1249" s="5"/>
      <c r="C1249" s="5"/>
      <c r="D1249" s="5"/>
      <c r="E1249" s="3"/>
      <c r="F1249" s="5"/>
      <c r="G1249" s="5"/>
      <c r="H1249" s="5"/>
      <c r="I1249" s="3"/>
      <c r="J1249" s="3"/>
      <c r="K1249" s="3"/>
      <c r="L1249" s="3"/>
      <c r="M1249" s="3"/>
      <c r="N1249" s="3"/>
      <c r="O1249" s="3"/>
      <c r="P1249" s="3"/>
      <c r="Q1249" s="3"/>
      <c r="R1249" s="3"/>
      <c r="S1249" s="3"/>
      <c r="T1249" s="3"/>
      <c r="U1249" s="3"/>
      <c r="V1249" s="3"/>
      <c r="W1249" s="3"/>
      <c r="X1249" s="3"/>
      <c r="Y1249" s="3"/>
    </row>
    <row r="1250">
      <c r="A1250" s="5"/>
      <c r="B1250" s="5"/>
      <c r="C1250" s="5"/>
      <c r="D1250" s="5"/>
      <c r="E1250" s="3"/>
      <c r="F1250" s="5"/>
      <c r="G1250" s="5"/>
      <c r="H1250" s="5"/>
      <c r="I1250" s="3"/>
      <c r="J1250" s="3"/>
      <c r="K1250" s="3"/>
      <c r="L1250" s="3"/>
      <c r="M1250" s="3"/>
      <c r="N1250" s="3"/>
      <c r="O1250" s="3"/>
      <c r="P1250" s="3"/>
      <c r="Q1250" s="3"/>
      <c r="R1250" s="3"/>
      <c r="S1250" s="3"/>
      <c r="T1250" s="3"/>
      <c r="U1250" s="3"/>
      <c r="V1250" s="3"/>
      <c r="W1250" s="3"/>
      <c r="X1250" s="3"/>
      <c r="Y1250" s="3"/>
    </row>
    <row r="1251">
      <c r="A1251" s="5"/>
      <c r="B1251" s="5"/>
      <c r="C1251" s="5"/>
      <c r="D1251" s="5"/>
      <c r="E1251" s="3"/>
      <c r="F1251" s="5"/>
      <c r="G1251" s="5"/>
      <c r="H1251" s="5"/>
      <c r="I1251" s="3"/>
      <c r="J1251" s="3"/>
      <c r="K1251" s="3"/>
      <c r="L1251" s="3"/>
      <c r="M1251" s="3"/>
      <c r="N1251" s="3"/>
      <c r="O1251" s="3"/>
      <c r="P1251" s="3"/>
      <c r="Q1251" s="3"/>
      <c r="R1251" s="3"/>
      <c r="S1251" s="3"/>
      <c r="T1251" s="3"/>
      <c r="U1251" s="3"/>
      <c r="V1251" s="3"/>
      <c r="W1251" s="3"/>
      <c r="X1251" s="3"/>
      <c r="Y1251" s="3"/>
    </row>
    <row r="1252">
      <c r="A1252" s="5"/>
      <c r="B1252" s="5"/>
      <c r="C1252" s="5"/>
      <c r="D1252" s="5"/>
      <c r="E1252" s="3"/>
      <c r="F1252" s="5"/>
      <c r="G1252" s="5"/>
      <c r="H1252" s="5"/>
      <c r="I1252" s="3"/>
      <c r="J1252" s="3"/>
      <c r="K1252" s="3"/>
      <c r="L1252" s="3"/>
      <c r="M1252" s="3"/>
      <c r="N1252" s="3"/>
      <c r="O1252" s="3"/>
      <c r="P1252" s="3"/>
      <c r="Q1252" s="3"/>
      <c r="R1252" s="3"/>
      <c r="S1252" s="3"/>
      <c r="T1252" s="3"/>
      <c r="U1252" s="3"/>
      <c r="V1252" s="3"/>
      <c r="W1252" s="3"/>
      <c r="X1252" s="3"/>
      <c r="Y1252" s="3"/>
    </row>
    <row r="1253">
      <c r="A1253" s="5"/>
      <c r="B1253" s="5"/>
      <c r="C1253" s="5"/>
      <c r="D1253" s="5"/>
      <c r="E1253" s="3"/>
      <c r="F1253" s="5"/>
      <c r="G1253" s="5"/>
      <c r="H1253" s="5"/>
      <c r="I1253" s="3"/>
      <c r="J1253" s="3"/>
      <c r="K1253" s="3"/>
      <c r="L1253" s="3"/>
      <c r="M1253" s="3"/>
      <c r="N1253" s="3"/>
      <c r="O1253" s="3"/>
      <c r="P1253" s="3"/>
      <c r="Q1253" s="3"/>
      <c r="R1253" s="3"/>
      <c r="S1253" s="3"/>
      <c r="T1253" s="3"/>
      <c r="U1253" s="3"/>
      <c r="V1253" s="3"/>
      <c r="W1253" s="3"/>
      <c r="X1253" s="3"/>
      <c r="Y1253" s="3"/>
    </row>
    <row r="1254">
      <c r="A1254" s="5"/>
      <c r="B1254" s="5"/>
      <c r="C1254" s="5"/>
      <c r="D1254" s="5"/>
      <c r="E1254" s="3"/>
      <c r="F1254" s="5"/>
      <c r="G1254" s="5"/>
      <c r="H1254" s="5"/>
      <c r="I1254" s="3"/>
      <c r="J1254" s="3"/>
      <c r="K1254" s="3"/>
      <c r="L1254" s="3"/>
      <c r="M1254" s="3"/>
      <c r="N1254" s="3"/>
      <c r="O1254" s="3"/>
      <c r="P1254" s="3"/>
      <c r="Q1254" s="3"/>
      <c r="R1254" s="3"/>
      <c r="S1254" s="3"/>
      <c r="T1254" s="3"/>
      <c r="U1254" s="3"/>
      <c r="V1254" s="3"/>
      <c r="W1254" s="3"/>
      <c r="X1254" s="3"/>
      <c r="Y1254" s="3"/>
    </row>
    <row r="1255">
      <c r="A1255" s="5"/>
      <c r="B1255" s="5"/>
      <c r="C1255" s="5"/>
      <c r="D1255" s="5"/>
      <c r="E1255" s="3"/>
      <c r="F1255" s="5"/>
      <c r="G1255" s="5"/>
      <c r="H1255" s="5"/>
      <c r="I1255" s="3"/>
      <c r="J1255" s="3"/>
      <c r="K1255" s="3"/>
      <c r="L1255" s="3"/>
      <c r="M1255" s="3"/>
      <c r="N1255" s="3"/>
      <c r="O1255" s="3"/>
      <c r="P1255" s="3"/>
      <c r="Q1255" s="3"/>
      <c r="R1255" s="3"/>
      <c r="S1255" s="3"/>
      <c r="T1255" s="3"/>
      <c r="U1255" s="3"/>
      <c r="V1255" s="3"/>
      <c r="W1255" s="3"/>
      <c r="X1255" s="3"/>
      <c r="Y1255" s="3"/>
    </row>
    <row r="1256">
      <c r="A1256" s="5"/>
      <c r="B1256" s="5"/>
      <c r="C1256" s="5"/>
      <c r="D1256" s="5"/>
      <c r="E1256" s="3"/>
      <c r="F1256" s="5"/>
      <c r="G1256" s="5"/>
      <c r="H1256" s="5"/>
      <c r="I1256" s="3"/>
      <c r="J1256" s="3"/>
      <c r="K1256" s="3"/>
      <c r="L1256" s="3"/>
      <c r="M1256" s="3"/>
      <c r="N1256" s="3"/>
      <c r="O1256" s="3"/>
      <c r="P1256" s="3"/>
      <c r="Q1256" s="3"/>
      <c r="R1256" s="3"/>
      <c r="S1256" s="3"/>
      <c r="T1256" s="3"/>
      <c r="U1256" s="3"/>
      <c r="V1256" s="3"/>
      <c r="W1256" s="3"/>
      <c r="X1256" s="3"/>
      <c r="Y1256" s="3"/>
    </row>
    <row r="1257">
      <c r="A1257" s="5"/>
      <c r="B1257" s="5"/>
      <c r="C1257" s="5"/>
      <c r="D1257" s="5"/>
      <c r="E1257" s="3"/>
      <c r="F1257" s="5"/>
      <c r="G1257" s="5"/>
      <c r="H1257" s="5"/>
      <c r="I1257" s="3"/>
      <c r="J1257" s="3"/>
      <c r="K1257" s="3"/>
      <c r="L1257" s="3"/>
      <c r="M1257" s="3"/>
      <c r="N1257" s="3"/>
      <c r="O1257" s="3"/>
      <c r="P1257" s="3"/>
      <c r="Q1257" s="3"/>
      <c r="R1257" s="3"/>
      <c r="S1257" s="3"/>
      <c r="T1257" s="3"/>
      <c r="U1257" s="3"/>
      <c r="V1257" s="3"/>
      <c r="W1257" s="3"/>
      <c r="X1257" s="3"/>
      <c r="Y1257" s="3"/>
    </row>
    <row r="1258">
      <c r="A1258" s="5"/>
      <c r="B1258" s="5"/>
      <c r="C1258" s="5"/>
      <c r="D1258" s="5"/>
      <c r="E1258" s="3"/>
      <c r="F1258" s="5"/>
      <c r="G1258" s="5"/>
      <c r="H1258" s="5"/>
      <c r="I1258" s="3"/>
      <c r="J1258" s="3"/>
      <c r="K1258" s="3"/>
      <c r="L1258" s="3"/>
      <c r="M1258" s="3"/>
      <c r="N1258" s="3"/>
      <c r="O1258" s="3"/>
      <c r="P1258" s="3"/>
      <c r="Q1258" s="3"/>
      <c r="R1258" s="3"/>
      <c r="S1258" s="3"/>
      <c r="T1258" s="3"/>
      <c r="U1258" s="3"/>
      <c r="V1258" s="3"/>
      <c r="W1258" s="3"/>
      <c r="X1258" s="3"/>
      <c r="Y1258" s="3"/>
    </row>
    <row r="1259">
      <c r="A1259" s="5"/>
      <c r="B1259" s="5"/>
      <c r="C1259" s="5"/>
      <c r="D1259" s="5"/>
      <c r="E1259" s="3"/>
      <c r="F1259" s="5"/>
      <c r="G1259" s="5"/>
      <c r="H1259" s="5"/>
      <c r="I1259" s="3"/>
      <c r="J1259" s="3"/>
      <c r="K1259" s="3"/>
      <c r="L1259" s="3"/>
      <c r="M1259" s="3"/>
      <c r="N1259" s="3"/>
      <c r="O1259" s="3"/>
      <c r="P1259" s="3"/>
      <c r="Q1259" s="3"/>
      <c r="R1259" s="3"/>
      <c r="S1259" s="3"/>
      <c r="T1259" s="3"/>
      <c r="U1259" s="3"/>
      <c r="V1259" s="3"/>
      <c r="W1259" s="3"/>
      <c r="X1259" s="3"/>
      <c r="Y1259" s="3"/>
    </row>
    <row r="1260">
      <c r="A1260" s="5"/>
      <c r="B1260" s="5"/>
      <c r="C1260" s="5"/>
      <c r="D1260" s="5"/>
      <c r="E1260" s="3"/>
      <c r="F1260" s="5"/>
      <c r="G1260" s="5"/>
      <c r="H1260" s="5"/>
      <c r="I1260" s="3"/>
      <c r="J1260" s="3"/>
      <c r="K1260" s="3"/>
      <c r="L1260" s="3"/>
      <c r="M1260" s="3"/>
      <c r="N1260" s="3"/>
      <c r="O1260" s="3"/>
      <c r="P1260" s="3"/>
      <c r="Q1260" s="3"/>
      <c r="R1260" s="3"/>
      <c r="S1260" s="3"/>
      <c r="T1260" s="3"/>
      <c r="U1260" s="3"/>
      <c r="V1260" s="3"/>
      <c r="W1260" s="3"/>
      <c r="X1260" s="3"/>
      <c r="Y1260" s="3"/>
    </row>
    <row r="1261">
      <c r="A1261" s="5"/>
      <c r="B1261" s="5"/>
      <c r="C1261" s="5"/>
      <c r="D1261" s="5"/>
      <c r="E1261" s="3"/>
      <c r="F1261" s="5"/>
      <c r="G1261" s="5"/>
      <c r="H1261" s="5"/>
      <c r="I1261" s="3"/>
      <c r="J1261" s="3"/>
      <c r="K1261" s="3"/>
      <c r="L1261" s="3"/>
      <c r="M1261" s="3"/>
      <c r="N1261" s="3"/>
      <c r="O1261" s="3"/>
      <c r="P1261" s="3"/>
      <c r="Q1261" s="3"/>
      <c r="R1261" s="3"/>
      <c r="S1261" s="3"/>
      <c r="T1261" s="3"/>
      <c r="U1261" s="3"/>
      <c r="V1261" s="3"/>
      <c r="W1261" s="3"/>
      <c r="X1261" s="3"/>
      <c r="Y1261" s="3"/>
    </row>
    <row r="1262">
      <c r="A1262" s="5"/>
      <c r="B1262" s="5"/>
      <c r="C1262" s="5"/>
      <c r="D1262" s="5"/>
      <c r="E1262" s="3"/>
      <c r="F1262" s="5"/>
      <c r="G1262" s="5"/>
      <c r="H1262" s="5"/>
      <c r="I1262" s="3"/>
      <c r="J1262" s="3"/>
      <c r="K1262" s="3"/>
      <c r="L1262" s="3"/>
      <c r="M1262" s="3"/>
      <c r="N1262" s="3"/>
      <c r="O1262" s="3"/>
      <c r="P1262" s="3"/>
      <c r="Q1262" s="3"/>
      <c r="R1262" s="3"/>
      <c r="S1262" s="3"/>
      <c r="T1262" s="3"/>
      <c r="U1262" s="3"/>
      <c r="V1262" s="3"/>
      <c r="W1262" s="3"/>
      <c r="X1262" s="3"/>
      <c r="Y1262" s="3"/>
    </row>
    <row r="1263">
      <c r="A1263" s="5"/>
      <c r="B1263" s="5"/>
      <c r="C1263" s="5"/>
      <c r="D1263" s="5"/>
      <c r="E1263" s="3"/>
      <c r="F1263" s="5"/>
      <c r="G1263" s="5"/>
      <c r="H1263" s="5"/>
      <c r="I1263" s="3"/>
      <c r="J1263" s="3"/>
      <c r="K1263" s="3"/>
      <c r="L1263" s="3"/>
      <c r="M1263" s="3"/>
      <c r="N1263" s="3"/>
      <c r="O1263" s="3"/>
      <c r="P1263" s="3"/>
      <c r="Q1263" s="3"/>
      <c r="R1263" s="3"/>
      <c r="S1263" s="3"/>
      <c r="T1263" s="3"/>
      <c r="U1263" s="3"/>
      <c r="V1263" s="3"/>
      <c r="W1263" s="3"/>
      <c r="X1263" s="3"/>
      <c r="Y1263" s="3"/>
    </row>
    <row r="1264">
      <c r="A1264" s="5"/>
      <c r="B1264" s="5"/>
      <c r="C1264" s="5"/>
      <c r="D1264" s="5"/>
      <c r="E1264" s="3"/>
      <c r="F1264" s="5"/>
      <c r="G1264" s="5"/>
      <c r="H1264" s="5"/>
      <c r="I1264" s="3"/>
      <c r="J1264" s="3"/>
      <c r="K1264" s="3"/>
      <c r="L1264" s="3"/>
      <c r="M1264" s="3"/>
      <c r="N1264" s="3"/>
      <c r="O1264" s="3"/>
      <c r="P1264" s="3"/>
      <c r="Q1264" s="3"/>
      <c r="R1264" s="3"/>
      <c r="S1264" s="3"/>
      <c r="T1264" s="3"/>
      <c r="U1264" s="3"/>
      <c r="V1264" s="3"/>
      <c r="W1264" s="3"/>
      <c r="X1264" s="3"/>
      <c r="Y1264" s="3"/>
    </row>
    <row r="1265">
      <c r="A1265" s="5"/>
      <c r="B1265" s="5"/>
      <c r="C1265" s="5"/>
      <c r="D1265" s="5"/>
      <c r="E1265" s="3"/>
      <c r="F1265" s="5"/>
      <c r="G1265" s="5"/>
      <c r="H1265" s="5"/>
      <c r="I1265" s="3"/>
      <c r="J1265" s="3"/>
      <c r="K1265" s="3"/>
      <c r="L1265" s="3"/>
      <c r="M1265" s="3"/>
      <c r="N1265" s="3"/>
      <c r="O1265" s="3"/>
      <c r="P1265" s="3"/>
      <c r="Q1265" s="3"/>
      <c r="R1265" s="3"/>
      <c r="S1265" s="3"/>
      <c r="T1265" s="3"/>
      <c r="U1265" s="3"/>
      <c r="V1265" s="3"/>
      <c r="W1265" s="3"/>
      <c r="X1265" s="3"/>
      <c r="Y1265" s="3"/>
    </row>
    <row r="1266">
      <c r="A1266" s="5"/>
      <c r="B1266" s="5"/>
      <c r="C1266" s="5"/>
      <c r="D1266" s="5"/>
      <c r="E1266" s="3"/>
      <c r="F1266" s="5"/>
      <c r="G1266" s="5"/>
      <c r="H1266" s="5"/>
      <c r="I1266" s="3"/>
      <c r="J1266" s="3"/>
      <c r="K1266" s="3"/>
      <c r="L1266" s="3"/>
      <c r="M1266" s="3"/>
      <c r="N1266" s="3"/>
      <c r="O1266" s="3"/>
      <c r="P1266" s="3"/>
      <c r="Q1266" s="3"/>
      <c r="R1266" s="3"/>
      <c r="S1266" s="3"/>
      <c r="T1266" s="3"/>
      <c r="U1266" s="3"/>
      <c r="V1266" s="3"/>
      <c r="W1266" s="3"/>
      <c r="X1266" s="3"/>
      <c r="Y1266" s="3"/>
    </row>
    <row r="1267">
      <c r="A1267" s="5"/>
      <c r="B1267" s="5"/>
      <c r="C1267" s="5"/>
      <c r="D1267" s="5"/>
      <c r="E1267" s="3"/>
      <c r="F1267" s="5"/>
      <c r="G1267" s="5"/>
      <c r="H1267" s="5"/>
      <c r="I1267" s="3"/>
      <c r="J1267" s="3"/>
      <c r="K1267" s="3"/>
      <c r="L1267" s="3"/>
      <c r="M1267" s="3"/>
      <c r="N1267" s="3"/>
      <c r="O1267" s="3"/>
      <c r="P1267" s="3"/>
      <c r="Q1267" s="3"/>
      <c r="R1267" s="3"/>
      <c r="S1267" s="3"/>
      <c r="T1267" s="3"/>
      <c r="U1267" s="3"/>
      <c r="V1267" s="3"/>
      <c r="W1267" s="3"/>
      <c r="X1267" s="3"/>
      <c r="Y1267" s="3"/>
    </row>
    <row r="1268">
      <c r="A1268" s="5"/>
      <c r="B1268" s="5"/>
      <c r="C1268" s="5"/>
      <c r="D1268" s="5"/>
      <c r="E1268" s="3"/>
      <c r="F1268" s="5"/>
      <c r="G1268" s="5"/>
      <c r="H1268" s="5"/>
      <c r="I1268" s="3"/>
      <c r="J1268" s="3"/>
      <c r="K1268" s="3"/>
      <c r="L1268" s="3"/>
      <c r="M1268" s="3"/>
      <c r="N1268" s="3"/>
      <c r="O1268" s="3"/>
      <c r="P1268" s="3"/>
      <c r="Q1268" s="3"/>
      <c r="R1268" s="3"/>
      <c r="S1268" s="3"/>
      <c r="T1268" s="3"/>
      <c r="U1268" s="3"/>
      <c r="V1268" s="3"/>
      <c r="W1268" s="3"/>
      <c r="X1268" s="3"/>
      <c r="Y1268" s="3"/>
    </row>
    <row r="1269">
      <c r="A1269" s="5"/>
      <c r="B1269" s="5"/>
      <c r="C1269" s="5"/>
      <c r="D1269" s="5"/>
      <c r="E1269" s="3"/>
      <c r="F1269" s="5"/>
      <c r="G1269" s="5"/>
      <c r="H1269" s="5"/>
      <c r="I1269" s="3"/>
      <c r="J1269" s="3"/>
      <c r="K1269" s="3"/>
      <c r="L1269" s="3"/>
      <c r="M1269" s="3"/>
      <c r="N1269" s="3"/>
      <c r="O1269" s="3"/>
      <c r="P1269" s="3"/>
      <c r="Q1269" s="3"/>
      <c r="R1269" s="3"/>
      <c r="S1269" s="3"/>
      <c r="T1269" s="3"/>
      <c r="U1269" s="3"/>
      <c r="V1269" s="3"/>
      <c r="W1269" s="3"/>
      <c r="X1269" s="3"/>
      <c r="Y1269" s="3"/>
    </row>
    <row r="1270">
      <c r="A1270" s="5"/>
      <c r="B1270" s="5"/>
      <c r="C1270" s="5"/>
      <c r="D1270" s="5"/>
      <c r="E1270" s="3"/>
      <c r="F1270" s="5"/>
      <c r="G1270" s="5"/>
      <c r="H1270" s="5"/>
      <c r="I1270" s="3"/>
      <c r="J1270" s="3"/>
      <c r="K1270" s="3"/>
      <c r="L1270" s="3"/>
      <c r="M1270" s="3"/>
      <c r="N1270" s="3"/>
      <c r="O1270" s="3"/>
      <c r="P1270" s="3"/>
      <c r="Q1270" s="3"/>
      <c r="R1270" s="3"/>
      <c r="S1270" s="3"/>
      <c r="T1270" s="3"/>
      <c r="U1270" s="3"/>
      <c r="V1270" s="3"/>
      <c r="W1270" s="3"/>
      <c r="X1270" s="3"/>
      <c r="Y1270" s="3"/>
    </row>
    <row r="1271">
      <c r="A1271" s="5"/>
      <c r="B1271" s="5"/>
      <c r="C1271" s="5"/>
      <c r="D1271" s="5"/>
      <c r="E1271" s="3"/>
      <c r="F1271" s="5"/>
      <c r="G1271" s="5"/>
      <c r="H1271" s="5"/>
      <c r="I1271" s="3"/>
      <c r="J1271" s="3"/>
      <c r="K1271" s="3"/>
      <c r="L1271" s="3"/>
      <c r="M1271" s="3"/>
      <c r="N1271" s="3"/>
      <c r="O1271" s="3"/>
      <c r="P1271" s="3"/>
      <c r="Q1271" s="3"/>
      <c r="R1271" s="3"/>
      <c r="S1271" s="3"/>
      <c r="T1271" s="3"/>
      <c r="U1271" s="3"/>
      <c r="V1271" s="3"/>
      <c r="W1271" s="3"/>
      <c r="X1271" s="3"/>
      <c r="Y1271" s="3"/>
    </row>
    <row r="1272">
      <c r="A1272" s="5"/>
      <c r="B1272" s="5"/>
      <c r="C1272" s="5"/>
      <c r="D1272" s="5"/>
      <c r="E1272" s="3"/>
      <c r="F1272" s="5"/>
      <c r="G1272" s="5"/>
      <c r="H1272" s="5"/>
      <c r="I1272" s="3"/>
      <c r="J1272" s="3"/>
      <c r="K1272" s="3"/>
      <c r="L1272" s="3"/>
      <c r="M1272" s="3"/>
      <c r="N1272" s="3"/>
      <c r="O1272" s="3"/>
      <c r="P1272" s="3"/>
      <c r="Q1272" s="3"/>
      <c r="R1272" s="3"/>
      <c r="S1272" s="3"/>
      <c r="T1272" s="3"/>
      <c r="U1272" s="3"/>
      <c r="V1272" s="3"/>
      <c r="W1272" s="3"/>
      <c r="X1272" s="3"/>
      <c r="Y1272" s="3"/>
    </row>
    <row r="1273">
      <c r="A1273" s="5"/>
      <c r="B1273" s="5"/>
      <c r="C1273" s="5"/>
      <c r="D1273" s="5"/>
      <c r="E1273" s="3"/>
      <c r="F1273" s="5"/>
      <c r="G1273" s="5"/>
      <c r="H1273" s="5"/>
      <c r="I1273" s="3"/>
      <c r="J1273" s="3"/>
      <c r="K1273" s="3"/>
      <c r="L1273" s="3"/>
      <c r="M1273" s="3"/>
      <c r="N1273" s="3"/>
      <c r="O1273" s="3"/>
      <c r="P1273" s="3"/>
      <c r="Q1273" s="3"/>
      <c r="R1273" s="3"/>
      <c r="S1273" s="3"/>
      <c r="T1273" s="3"/>
      <c r="U1273" s="3"/>
      <c r="V1273" s="3"/>
      <c r="W1273" s="3"/>
      <c r="X1273" s="3"/>
      <c r="Y1273" s="3"/>
    </row>
    <row r="1274">
      <c r="A1274" s="5"/>
      <c r="B1274" s="5"/>
      <c r="C1274" s="5"/>
      <c r="D1274" s="5"/>
      <c r="E1274" s="3"/>
      <c r="F1274" s="5"/>
      <c r="G1274" s="5"/>
      <c r="H1274" s="5"/>
      <c r="I1274" s="3"/>
      <c r="J1274" s="3"/>
      <c r="K1274" s="3"/>
      <c r="L1274" s="3"/>
      <c r="M1274" s="3"/>
      <c r="N1274" s="3"/>
      <c r="O1274" s="3"/>
      <c r="P1274" s="3"/>
      <c r="Q1274" s="3"/>
      <c r="R1274" s="3"/>
      <c r="S1274" s="3"/>
      <c r="T1274" s="3"/>
      <c r="U1274" s="3"/>
      <c r="V1274" s="3"/>
      <c r="W1274" s="3"/>
      <c r="X1274" s="3"/>
      <c r="Y1274" s="3"/>
    </row>
    <row r="1275">
      <c r="A1275" s="5"/>
      <c r="B1275" s="5"/>
      <c r="C1275" s="5"/>
      <c r="D1275" s="5"/>
      <c r="E1275" s="3"/>
      <c r="F1275" s="5"/>
      <c r="G1275" s="5"/>
      <c r="H1275" s="5"/>
      <c r="I1275" s="3"/>
      <c r="J1275" s="3"/>
      <c r="K1275" s="3"/>
      <c r="L1275" s="3"/>
      <c r="M1275" s="3"/>
      <c r="N1275" s="3"/>
      <c r="O1275" s="3"/>
      <c r="P1275" s="3"/>
      <c r="Q1275" s="3"/>
      <c r="R1275" s="3"/>
      <c r="S1275" s="3"/>
      <c r="T1275" s="3"/>
      <c r="U1275" s="3"/>
      <c r="V1275" s="3"/>
      <c r="W1275" s="3"/>
      <c r="X1275" s="3"/>
      <c r="Y1275" s="3"/>
    </row>
    <row r="1276">
      <c r="A1276" s="5"/>
      <c r="B1276" s="5"/>
      <c r="C1276" s="5"/>
      <c r="D1276" s="5"/>
      <c r="E1276" s="3"/>
      <c r="F1276" s="5"/>
      <c r="G1276" s="5"/>
      <c r="H1276" s="5"/>
      <c r="I1276" s="3"/>
      <c r="J1276" s="3"/>
      <c r="K1276" s="3"/>
      <c r="L1276" s="3"/>
      <c r="M1276" s="3"/>
      <c r="N1276" s="3"/>
      <c r="O1276" s="3"/>
      <c r="P1276" s="3"/>
      <c r="Q1276" s="3"/>
      <c r="R1276" s="3"/>
      <c r="S1276" s="3"/>
      <c r="T1276" s="3"/>
      <c r="U1276" s="3"/>
      <c r="V1276" s="3"/>
      <c r="W1276" s="3"/>
      <c r="X1276" s="3"/>
      <c r="Y1276" s="3"/>
    </row>
    <row r="1277">
      <c r="A1277" s="5"/>
      <c r="B1277" s="5"/>
      <c r="C1277" s="5"/>
      <c r="D1277" s="5"/>
      <c r="E1277" s="3"/>
      <c r="F1277" s="5"/>
      <c r="G1277" s="5"/>
      <c r="H1277" s="5"/>
      <c r="I1277" s="3"/>
      <c r="J1277" s="3"/>
      <c r="K1277" s="3"/>
      <c r="L1277" s="3"/>
      <c r="M1277" s="3"/>
      <c r="N1277" s="3"/>
      <c r="O1277" s="3"/>
      <c r="P1277" s="3"/>
      <c r="Q1277" s="3"/>
      <c r="R1277" s="3"/>
      <c r="S1277" s="3"/>
      <c r="T1277" s="3"/>
      <c r="U1277" s="3"/>
      <c r="V1277" s="3"/>
      <c r="W1277" s="3"/>
      <c r="X1277" s="3"/>
      <c r="Y1277" s="3"/>
    </row>
    <row r="1278">
      <c r="A1278" s="5"/>
      <c r="B1278" s="5"/>
      <c r="C1278" s="5"/>
      <c r="D1278" s="5"/>
      <c r="E1278" s="3"/>
      <c r="F1278" s="5"/>
      <c r="G1278" s="5"/>
      <c r="H1278" s="5"/>
      <c r="I1278" s="3"/>
      <c r="J1278" s="3"/>
      <c r="K1278" s="3"/>
      <c r="L1278" s="3"/>
      <c r="M1278" s="3"/>
      <c r="N1278" s="3"/>
      <c r="O1278" s="3"/>
      <c r="P1278" s="3"/>
      <c r="Q1278" s="3"/>
      <c r="R1278" s="3"/>
      <c r="S1278" s="3"/>
      <c r="T1278" s="3"/>
      <c r="U1278" s="3"/>
      <c r="V1278" s="3"/>
      <c r="W1278" s="3"/>
      <c r="X1278" s="3"/>
      <c r="Y1278" s="3"/>
    </row>
    <row r="1279">
      <c r="A1279" s="5"/>
      <c r="B1279" s="5"/>
      <c r="C1279" s="5"/>
      <c r="D1279" s="5"/>
      <c r="E1279" s="3"/>
      <c r="F1279" s="5"/>
      <c r="G1279" s="5"/>
      <c r="H1279" s="5"/>
      <c r="I1279" s="3"/>
      <c r="J1279" s="3"/>
      <c r="K1279" s="3"/>
      <c r="L1279" s="3"/>
      <c r="M1279" s="3"/>
      <c r="N1279" s="3"/>
      <c r="O1279" s="3"/>
      <c r="P1279" s="3"/>
      <c r="Q1279" s="3"/>
      <c r="R1279" s="3"/>
      <c r="S1279" s="3"/>
      <c r="T1279" s="3"/>
      <c r="U1279" s="3"/>
      <c r="V1279" s="3"/>
      <c r="W1279" s="3"/>
      <c r="X1279" s="3"/>
      <c r="Y1279" s="3"/>
    </row>
    <row r="1280">
      <c r="A1280" s="5"/>
      <c r="B1280" s="5"/>
      <c r="C1280" s="5"/>
      <c r="D1280" s="5"/>
      <c r="E1280" s="3"/>
      <c r="F1280" s="5"/>
      <c r="G1280" s="5"/>
      <c r="H1280" s="5"/>
      <c r="I1280" s="3"/>
      <c r="J1280" s="3"/>
      <c r="K1280" s="3"/>
      <c r="L1280" s="3"/>
      <c r="M1280" s="3"/>
      <c r="N1280" s="3"/>
      <c r="O1280" s="3"/>
      <c r="P1280" s="3"/>
      <c r="Q1280" s="3"/>
      <c r="R1280" s="3"/>
      <c r="S1280" s="3"/>
      <c r="T1280" s="3"/>
      <c r="U1280" s="3"/>
      <c r="V1280" s="3"/>
      <c r="W1280" s="3"/>
      <c r="X1280" s="3"/>
      <c r="Y1280" s="3"/>
    </row>
    <row r="1281">
      <c r="A1281" s="5"/>
      <c r="B1281" s="5"/>
      <c r="C1281" s="5"/>
      <c r="D1281" s="5"/>
      <c r="E1281" s="3"/>
      <c r="F1281" s="5"/>
      <c r="G1281" s="5"/>
      <c r="H1281" s="5"/>
      <c r="I1281" s="3"/>
      <c r="J1281" s="3"/>
      <c r="K1281" s="3"/>
      <c r="L1281" s="3"/>
      <c r="M1281" s="3"/>
      <c r="N1281" s="3"/>
      <c r="O1281" s="3"/>
      <c r="P1281" s="3"/>
      <c r="Q1281" s="3"/>
      <c r="R1281" s="3"/>
      <c r="S1281" s="3"/>
      <c r="T1281" s="3"/>
      <c r="U1281" s="3"/>
      <c r="V1281" s="3"/>
      <c r="W1281" s="3"/>
      <c r="X1281" s="3"/>
      <c r="Y1281" s="3"/>
    </row>
    <row r="1282">
      <c r="A1282" s="5"/>
      <c r="B1282" s="5"/>
      <c r="C1282" s="5"/>
      <c r="D1282" s="5"/>
      <c r="E1282" s="3"/>
      <c r="F1282" s="5"/>
      <c r="G1282" s="5"/>
      <c r="H1282" s="5"/>
      <c r="I1282" s="3"/>
      <c r="J1282" s="3"/>
      <c r="K1282" s="3"/>
      <c r="L1282" s="3"/>
      <c r="M1282" s="3"/>
      <c r="N1282" s="3"/>
      <c r="O1282" s="3"/>
      <c r="P1282" s="3"/>
      <c r="Q1282" s="3"/>
      <c r="R1282" s="3"/>
      <c r="S1282" s="3"/>
      <c r="T1282" s="3"/>
      <c r="U1282" s="3"/>
      <c r="V1282" s="3"/>
      <c r="W1282" s="3"/>
      <c r="X1282" s="3"/>
      <c r="Y1282" s="3"/>
    </row>
    <row r="1283">
      <c r="A1283" s="5"/>
      <c r="B1283" s="5"/>
      <c r="C1283" s="5"/>
      <c r="D1283" s="5"/>
      <c r="E1283" s="3"/>
      <c r="F1283" s="5"/>
      <c r="G1283" s="5"/>
      <c r="H1283" s="5"/>
      <c r="I1283" s="3"/>
      <c r="J1283" s="3"/>
      <c r="K1283" s="3"/>
      <c r="L1283" s="3"/>
      <c r="M1283" s="3"/>
      <c r="N1283" s="3"/>
      <c r="O1283" s="3"/>
      <c r="P1283" s="3"/>
      <c r="Q1283" s="3"/>
      <c r="R1283" s="3"/>
      <c r="S1283" s="3"/>
      <c r="T1283" s="3"/>
      <c r="U1283" s="3"/>
      <c r="V1283" s="3"/>
      <c r="W1283" s="3"/>
      <c r="X1283" s="3"/>
      <c r="Y1283" s="3"/>
    </row>
    <row r="1284">
      <c r="A1284" s="5"/>
      <c r="B1284" s="5"/>
      <c r="C1284" s="5"/>
      <c r="D1284" s="5"/>
      <c r="E1284" s="3"/>
      <c r="F1284" s="5"/>
      <c r="G1284" s="5"/>
      <c r="H1284" s="5"/>
      <c r="I1284" s="3"/>
      <c r="J1284" s="3"/>
      <c r="K1284" s="3"/>
      <c r="L1284" s="3"/>
      <c r="M1284" s="3"/>
      <c r="N1284" s="3"/>
      <c r="O1284" s="3"/>
      <c r="P1284" s="3"/>
      <c r="Q1284" s="3"/>
      <c r="R1284" s="3"/>
      <c r="S1284" s="3"/>
      <c r="T1284" s="3"/>
      <c r="U1284" s="3"/>
      <c r="V1284" s="3"/>
      <c r="W1284" s="3"/>
      <c r="X1284" s="3"/>
      <c r="Y1284" s="3"/>
    </row>
    <row r="1285">
      <c r="A1285" s="5"/>
      <c r="B1285" s="5"/>
      <c r="C1285" s="5"/>
      <c r="D1285" s="5"/>
      <c r="E1285" s="3"/>
      <c r="F1285" s="5"/>
      <c r="G1285" s="5"/>
      <c r="H1285" s="5"/>
      <c r="I1285" s="3"/>
      <c r="J1285" s="3"/>
      <c r="K1285" s="3"/>
      <c r="L1285" s="3"/>
      <c r="M1285" s="3"/>
      <c r="N1285" s="3"/>
      <c r="O1285" s="3"/>
      <c r="P1285" s="3"/>
      <c r="Q1285" s="3"/>
      <c r="R1285" s="3"/>
      <c r="S1285" s="3"/>
      <c r="T1285" s="3"/>
      <c r="U1285" s="3"/>
      <c r="V1285" s="3"/>
      <c r="W1285" s="3"/>
      <c r="X1285" s="3"/>
      <c r="Y1285" s="3"/>
    </row>
    <row r="1286">
      <c r="A1286" s="5"/>
      <c r="B1286" s="5"/>
      <c r="C1286" s="5"/>
      <c r="D1286" s="5"/>
      <c r="E1286" s="3"/>
      <c r="F1286" s="5"/>
      <c r="G1286" s="5"/>
      <c r="H1286" s="5"/>
      <c r="I1286" s="3"/>
      <c r="J1286" s="3"/>
      <c r="K1286" s="3"/>
      <c r="L1286" s="3"/>
      <c r="M1286" s="3"/>
      <c r="N1286" s="3"/>
      <c r="O1286" s="3"/>
      <c r="P1286" s="3"/>
      <c r="Q1286" s="3"/>
      <c r="R1286" s="3"/>
      <c r="S1286" s="3"/>
      <c r="T1286" s="3"/>
      <c r="U1286" s="3"/>
      <c r="V1286" s="3"/>
      <c r="W1286" s="3"/>
      <c r="X1286" s="3"/>
      <c r="Y1286" s="3"/>
    </row>
    <row r="1287">
      <c r="A1287" s="5"/>
      <c r="B1287" s="5"/>
      <c r="C1287" s="5"/>
      <c r="D1287" s="5"/>
      <c r="E1287" s="3"/>
      <c r="F1287" s="5"/>
      <c r="G1287" s="5"/>
      <c r="H1287" s="5"/>
      <c r="I1287" s="3"/>
      <c r="J1287" s="3"/>
      <c r="K1287" s="3"/>
      <c r="L1287" s="3"/>
      <c r="M1287" s="3"/>
      <c r="N1287" s="3"/>
      <c r="O1287" s="3"/>
      <c r="P1287" s="3"/>
      <c r="Q1287" s="3"/>
      <c r="R1287" s="3"/>
      <c r="S1287" s="3"/>
      <c r="T1287" s="3"/>
      <c r="U1287" s="3"/>
      <c r="V1287" s="3"/>
      <c r="W1287" s="3"/>
      <c r="X1287" s="3"/>
      <c r="Y1287" s="3"/>
    </row>
    <row r="1288">
      <c r="A1288" s="5"/>
      <c r="B1288" s="5"/>
      <c r="C1288" s="5"/>
      <c r="D1288" s="5"/>
      <c r="E1288" s="3"/>
      <c r="F1288" s="5"/>
      <c r="G1288" s="5"/>
      <c r="H1288" s="5"/>
      <c r="I1288" s="3"/>
      <c r="J1288" s="3"/>
      <c r="K1288" s="3"/>
      <c r="L1288" s="3"/>
      <c r="M1288" s="3"/>
      <c r="N1288" s="3"/>
      <c r="O1288" s="3"/>
      <c r="P1288" s="3"/>
      <c r="Q1288" s="3"/>
      <c r="R1288" s="3"/>
      <c r="S1288" s="3"/>
      <c r="T1288" s="3"/>
      <c r="U1288" s="3"/>
      <c r="V1288" s="3"/>
      <c r="W1288" s="3"/>
      <c r="X1288" s="3"/>
      <c r="Y1288" s="3"/>
    </row>
    <row r="1289">
      <c r="A1289" s="5"/>
      <c r="B1289" s="5"/>
      <c r="C1289" s="5"/>
      <c r="D1289" s="5"/>
      <c r="E1289" s="3"/>
      <c r="F1289" s="5"/>
      <c r="G1289" s="5"/>
      <c r="H1289" s="5"/>
      <c r="I1289" s="3"/>
      <c r="J1289" s="3"/>
      <c r="K1289" s="3"/>
      <c r="L1289" s="3"/>
      <c r="M1289" s="3"/>
      <c r="N1289" s="3"/>
      <c r="O1289" s="3"/>
      <c r="P1289" s="3"/>
      <c r="Q1289" s="3"/>
      <c r="R1289" s="3"/>
      <c r="S1289" s="3"/>
      <c r="T1289" s="3"/>
      <c r="U1289" s="3"/>
      <c r="V1289" s="3"/>
      <c r="W1289" s="3"/>
      <c r="X1289" s="3"/>
      <c r="Y1289" s="3"/>
    </row>
    <row r="1290">
      <c r="A1290" s="5"/>
      <c r="B1290" s="5"/>
      <c r="C1290" s="5"/>
      <c r="D1290" s="5"/>
      <c r="E1290" s="3"/>
      <c r="F1290" s="5"/>
      <c r="G1290" s="5"/>
      <c r="H1290" s="5"/>
      <c r="I1290" s="3"/>
      <c r="J1290" s="3"/>
      <c r="K1290" s="3"/>
      <c r="L1290" s="3"/>
      <c r="M1290" s="3"/>
      <c r="N1290" s="3"/>
      <c r="O1290" s="3"/>
      <c r="P1290" s="3"/>
      <c r="Q1290" s="3"/>
      <c r="R1290" s="3"/>
      <c r="S1290" s="3"/>
      <c r="T1290" s="3"/>
      <c r="U1290" s="3"/>
      <c r="V1290" s="3"/>
      <c r="W1290" s="3"/>
      <c r="X1290" s="3"/>
      <c r="Y1290" s="3"/>
    </row>
    <row r="1291">
      <c r="A1291" s="5"/>
      <c r="B1291" s="5"/>
      <c r="C1291" s="5"/>
      <c r="D1291" s="5"/>
      <c r="E1291" s="3"/>
      <c r="F1291" s="5"/>
      <c r="G1291" s="5"/>
      <c r="H1291" s="5"/>
      <c r="I1291" s="3"/>
      <c r="J1291" s="3"/>
      <c r="K1291" s="3"/>
      <c r="L1291" s="3"/>
      <c r="M1291" s="3"/>
      <c r="N1291" s="3"/>
      <c r="O1291" s="3"/>
      <c r="P1291" s="3"/>
      <c r="Q1291" s="3"/>
      <c r="R1291" s="3"/>
      <c r="S1291" s="3"/>
      <c r="T1291" s="3"/>
      <c r="U1291" s="3"/>
      <c r="V1291" s="3"/>
      <c r="W1291" s="3"/>
      <c r="X1291" s="3"/>
      <c r="Y1291" s="3"/>
    </row>
    <row r="1292">
      <c r="A1292" s="5"/>
      <c r="B1292" s="5"/>
      <c r="C1292" s="5"/>
      <c r="D1292" s="5"/>
      <c r="E1292" s="3"/>
      <c r="F1292" s="5"/>
      <c r="G1292" s="5"/>
      <c r="H1292" s="5"/>
      <c r="I1292" s="3"/>
      <c r="J1292" s="3"/>
      <c r="K1292" s="3"/>
      <c r="L1292" s="3"/>
      <c r="M1292" s="3"/>
      <c r="N1292" s="3"/>
      <c r="O1292" s="3"/>
      <c r="P1292" s="3"/>
      <c r="Q1292" s="3"/>
      <c r="R1292" s="3"/>
      <c r="S1292" s="3"/>
      <c r="T1292" s="3"/>
      <c r="U1292" s="3"/>
      <c r="V1292" s="3"/>
      <c r="W1292" s="3"/>
      <c r="X1292" s="3"/>
      <c r="Y1292" s="3"/>
    </row>
    <row r="1293">
      <c r="A1293" s="5"/>
      <c r="B1293" s="5"/>
      <c r="C1293" s="5"/>
      <c r="D1293" s="5"/>
      <c r="E1293" s="3"/>
      <c r="F1293" s="5"/>
      <c r="G1293" s="5"/>
      <c r="H1293" s="5"/>
      <c r="I1293" s="3"/>
      <c r="J1293" s="3"/>
      <c r="K1293" s="3"/>
      <c r="L1293" s="3"/>
      <c r="M1293" s="3"/>
      <c r="N1293" s="3"/>
      <c r="O1293" s="3"/>
      <c r="P1293" s="3"/>
      <c r="Q1293" s="3"/>
      <c r="R1293" s="3"/>
      <c r="S1293" s="3"/>
      <c r="T1293" s="3"/>
      <c r="U1293" s="3"/>
      <c r="V1293" s="3"/>
      <c r="W1293" s="3"/>
      <c r="X1293" s="3"/>
      <c r="Y1293" s="3"/>
    </row>
    <row r="1294">
      <c r="A1294" s="5"/>
      <c r="B1294" s="5"/>
      <c r="C1294" s="5"/>
      <c r="D1294" s="5"/>
      <c r="E1294" s="3"/>
      <c r="F1294" s="5"/>
      <c r="G1294" s="5"/>
      <c r="H1294" s="5"/>
      <c r="I1294" s="3"/>
      <c r="J1294" s="3"/>
      <c r="K1294" s="3"/>
      <c r="L1294" s="3"/>
      <c r="M1294" s="3"/>
      <c r="N1294" s="3"/>
      <c r="O1294" s="3"/>
      <c r="P1294" s="3"/>
      <c r="Q1294" s="3"/>
      <c r="R1294" s="3"/>
      <c r="S1294" s="3"/>
      <c r="T1294" s="3"/>
      <c r="U1294" s="3"/>
      <c r="V1294" s="3"/>
      <c r="W1294" s="3"/>
      <c r="X1294" s="3"/>
      <c r="Y1294" s="3"/>
    </row>
    <row r="1295">
      <c r="A1295" s="5"/>
      <c r="B1295" s="5"/>
      <c r="C1295" s="5"/>
      <c r="D1295" s="5"/>
      <c r="E1295" s="3"/>
      <c r="F1295" s="5"/>
      <c r="G1295" s="5"/>
      <c r="H1295" s="5"/>
      <c r="I1295" s="3"/>
      <c r="J1295" s="3"/>
      <c r="K1295" s="3"/>
      <c r="L1295" s="3"/>
      <c r="M1295" s="3"/>
      <c r="N1295" s="3"/>
      <c r="O1295" s="3"/>
      <c r="P1295" s="3"/>
      <c r="Q1295" s="3"/>
      <c r="R1295" s="3"/>
      <c r="S1295" s="3"/>
      <c r="T1295" s="3"/>
      <c r="U1295" s="3"/>
      <c r="V1295" s="3"/>
      <c r="W1295" s="3"/>
      <c r="X1295" s="3"/>
      <c r="Y1295" s="3"/>
    </row>
    <row r="1296">
      <c r="A1296" s="5"/>
      <c r="B1296" s="5"/>
      <c r="C1296" s="5"/>
      <c r="D1296" s="5"/>
      <c r="E1296" s="3"/>
      <c r="F1296" s="5"/>
      <c r="G1296" s="5"/>
      <c r="H1296" s="5"/>
      <c r="I1296" s="3"/>
      <c r="J1296" s="3"/>
      <c r="K1296" s="3"/>
      <c r="L1296" s="3"/>
      <c r="M1296" s="3"/>
      <c r="N1296" s="3"/>
      <c r="O1296" s="3"/>
      <c r="P1296" s="3"/>
      <c r="Q1296" s="3"/>
      <c r="R1296" s="3"/>
      <c r="S1296" s="3"/>
      <c r="T1296" s="3"/>
      <c r="U1296" s="3"/>
      <c r="V1296" s="3"/>
      <c r="W1296" s="3"/>
      <c r="X1296" s="3"/>
      <c r="Y1296" s="3"/>
    </row>
    <row r="1297">
      <c r="A1297" s="5"/>
      <c r="B1297" s="5"/>
      <c r="C1297" s="5"/>
      <c r="D1297" s="5"/>
      <c r="E1297" s="3"/>
      <c r="F1297" s="5"/>
      <c r="G1297" s="5"/>
      <c r="H1297" s="5"/>
      <c r="I1297" s="3"/>
      <c r="J1297" s="3"/>
      <c r="K1297" s="3"/>
      <c r="L1297" s="3"/>
      <c r="M1297" s="3"/>
      <c r="N1297" s="3"/>
      <c r="O1297" s="3"/>
      <c r="P1297" s="3"/>
      <c r="Q1297" s="3"/>
      <c r="R1297" s="3"/>
      <c r="S1297" s="3"/>
      <c r="T1297" s="3"/>
      <c r="U1297" s="3"/>
      <c r="V1297" s="3"/>
      <c r="W1297" s="3"/>
      <c r="X1297" s="3"/>
      <c r="Y1297" s="3"/>
    </row>
    <row r="1298">
      <c r="A1298" s="5"/>
      <c r="B1298" s="5"/>
      <c r="C1298" s="5"/>
      <c r="D1298" s="5"/>
      <c r="E1298" s="3"/>
      <c r="F1298" s="5"/>
      <c r="G1298" s="5"/>
      <c r="H1298" s="5"/>
      <c r="I1298" s="3"/>
      <c r="J1298" s="3"/>
      <c r="K1298" s="3"/>
      <c r="L1298" s="3"/>
      <c r="M1298" s="3"/>
      <c r="N1298" s="3"/>
      <c r="O1298" s="3"/>
      <c r="P1298" s="3"/>
      <c r="Q1298" s="3"/>
      <c r="R1298" s="3"/>
      <c r="S1298" s="3"/>
      <c r="T1298" s="3"/>
      <c r="U1298" s="3"/>
      <c r="V1298" s="3"/>
      <c r="W1298" s="3"/>
      <c r="X1298" s="3"/>
      <c r="Y1298" s="3"/>
    </row>
    <row r="1299">
      <c r="A1299" s="5"/>
      <c r="B1299" s="5"/>
      <c r="C1299" s="5"/>
      <c r="D1299" s="5"/>
      <c r="E1299" s="3"/>
      <c r="F1299" s="5"/>
      <c r="G1299" s="5"/>
      <c r="H1299" s="5"/>
      <c r="I1299" s="3"/>
      <c r="J1299" s="3"/>
      <c r="K1299" s="3"/>
      <c r="L1299" s="3"/>
      <c r="M1299" s="3"/>
      <c r="N1299" s="3"/>
      <c r="O1299" s="3"/>
      <c r="P1299" s="3"/>
      <c r="Q1299" s="3"/>
      <c r="R1299" s="3"/>
      <c r="S1299" s="3"/>
      <c r="T1299" s="3"/>
      <c r="U1299" s="3"/>
      <c r="V1299" s="3"/>
      <c r="W1299" s="3"/>
      <c r="X1299" s="3"/>
      <c r="Y1299" s="3"/>
    </row>
    <row r="1300">
      <c r="A1300" s="5"/>
      <c r="B1300" s="5"/>
      <c r="C1300" s="5"/>
      <c r="D1300" s="5"/>
      <c r="E1300" s="3"/>
      <c r="F1300" s="5"/>
      <c r="G1300" s="5"/>
      <c r="H1300" s="5"/>
      <c r="I1300" s="3"/>
      <c r="J1300" s="3"/>
      <c r="K1300" s="3"/>
      <c r="L1300" s="3"/>
      <c r="M1300" s="3"/>
      <c r="N1300" s="3"/>
      <c r="O1300" s="3"/>
      <c r="P1300" s="3"/>
      <c r="Q1300" s="3"/>
      <c r="R1300" s="3"/>
      <c r="S1300" s="3"/>
      <c r="T1300" s="3"/>
      <c r="U1300" s="3"/>
      <c r="V1300" s="3"/>
      <c r="W1300" s="3"/>
      <c r="X1300" s="3"/>
      <c r="Y1300" s="3"/>
    </row>
    <row r="1301">
      <c r="A1301" s="5"/>
      <c r="B1301" s="5"/>
      <c r="C1301" s="5"/>
      <c r="D1301" s="5"/>
      <c r="E1301" s="3"/>
      <c r="F1301" s="5"/>
      <c r="G1301" s="5"/>
      <c r="H1301" s="5"/>
      <c r="I1301" s="3"/>
      <c r="J1301" s="3"/>
      <c r="K1301" s="3"/>
      <c r="L1301" s="3"/>
      <c r="M1301" s="3"/>
      <c r="N1301" s="3"/>
      <c r="O1301" s="3"/>
      <c r="P1301" s="3"/>
      <c r="Q1301" s="3"/>
      <c r="R1301" s="3"/>
      <c r="S1301" s="3"/>
      <c r="T1301" s="3"/>
      <c r="U1301" s="3"/>
      <c r="V1301" s="3"/>
      <c r="W1301" s="3"/>
      <c r="X1301" s="3"/>
      <c r="Y1301" s="3"/>
    </row>
    <row r="1302">
      <c r="A1302" s="5"/>
      <c r="B1302" s="5"/>
      <c r="C1302" s="5"/>
      <c r="D1302" s="5"/>
      <c r="E1302" s="3"/>
      <c r="F1302" s="5"/>
      <c r="G1302" s="5"/>
      <c r="H1302" s="5"/>
      <c r="I1302" s="3"/>
      <c r="J1302" s="3"/>
      <c r="K1302" s="3"/>
      <c r="L1302" s="3"/>
      <c r="M1302" s="3"/>
      <c r="N1302" s="3"/>
      <c r="O1302" s="3"/>
      <c r="P1302" s="3"/>
      <c r="Q1302" s="3"/>
      <c r="R1302" s="3"/>
      <c r="S1302" s="3"/>
      <c r="T1302" s="3"/>
      <c r="U1302" s="3"/>
      <c r="V1302" s="3"/>
      <c r="W1302" s="3"/>
      <c r="X1302" s="3"/>
      <c r="Y1302" s="3"/>
    </row>
    <row r="1303">
      <c r="A1303" s="5"/>
      <c r="B1303" s="5"/>
      <c r="C1303" s="5"/>
      <c r="D1303" s="5"/>
      <c r="E1303" s="3"/>
      <c r="F1303" s="5"/>
      <c r="G1303" s="5"/>
      <c r="H1303" s="5"/>
      <c r="I1303" s="3"/>
      <c r="J1303" s="3"/>
      <c r="K1303" s="3"/>
      <c r="L1303" s="3"/>
      <c r="M1303" s="3"/>
      <c r="N1303" s="3"/>
      <c r="O1303" s="3"/>
      <c r="P1303" s="3"/>
      <c r="Q1303" s="3"/>
      <c r="R1303" s="3"/>
      <c r="S1303" s="3"/>
      <c r="T1303" s="3"/>
      <c r="U1303" s="3"/>
      <c r="V1303" s="3"/>
      <c r="W1303" s="3"/>
      <c r="X1303" s="3"/>
      <c r="Y1303" s="3"/>
    </row>
    <row r="1304">
      <c r="A1304" s="5"/>
      <c r="B1304" s="5"/>
      <c r="C1304" s="5"/>
      <c r="D1304" s="5"/>
      <c r="E1304" s="3"/>
      <c r="F1304" s="5"/>
      <c r="G1304" s="5"/>
      <c r="H1304" s="5"/>
      <c r="I1304" s="3"/>
      <c r="J1304" s="3"/>
      <c r="K1304" s="3"/>
      <c r="L1304" s="3"/>
      <c r="M1304" s="3"/>
      <c r="N1304" s="3"/>
      <c r="O1304" s="3"/>
      <c r="P1304" s="3"/>
      <c r="Q1304" s="3"/>
      <c r="R1304" s="3"/>
      <c r="S1304" s="3"/>
      <c r="T1304" s="3"/>
      <c r="U1304" s="3"/>
      <c r="V1304" s="3"/>
      <c r="W1304" s="3"/>
      <c r="X1304" s="3"/>
      <c r="Y1304" s="3"/>
    </row>
    <row r="1305">
      <c r="A1305" s="5"/>
      <c r="B1305" s="5"/>
      <c r="C1305" s="5"/>
      <c r="D1305" s="5"/>
      <c r="E1305" s="3"/>
      <c r="F1305" s="5"/>
      <c r="G1305" s="5"/>
      <c r="H1305" s="5"/>
      <c r="I1305" s="3"/>
      <c r="J1305" s="3"/>
      <c r="K1305" s="3"/>
      <c r="L1305" s="3"/>
      <c r="M1305" s="3"/>
      <c r="N1305" s="3"/>
      <c r="O1305" s="3"/>
      <c r="P1305" s="3"/>
      <c r="Q1305" s="3"/>
      <c r="R1305" s="3"/>
      <c r="S1305" s="3"/>
      <c r="T1305" s="3"/>
      <c r="U1305" s="3"/>
      <c r="V1305" s="3"/>
      <c r="W1305" s="3"/>
      <c r="X1305" s="3"/>
      <c r="Y1305" s="3"/>
    </row>
    <row r="1306">
      <c r="A1306" s="5"/>
      <c r="B1306" s="5"/>
      <c r="C1306" s="5"/>
      <c r="D1306" s="5"/>
      <c r="E1306" s="3"/>
      <c r="F1306" s="5"/>
      <c r="G1306" s="5"/>
      <c r="H1306" s="5"/>
      <c r="I1306" s="3"/>
      <c r="J1306" s="3"/>
      <c r="K1306" s="3"/>
      <c r="L1306" s="3"/>
      <c r="M1306" s="3"/>
      <c r="N1306" s="3"/>
      <c r="O1306" s="3"/>
      <c r="P1306" s="3"/>
      <c r="Q1306" s="3"/>
      <c r="R1306" s="3"/>
      <c r="S1306" s="3"/>
      <c r="T1306" s="3"/>
      <c r="U1306" s="3"/>
      <c r="V1306" s="3"/>
      <c r="W1306" s="3"/>
      <c r="X1306" s="3"/>
      <c r="Y1306" s="3"/>
    </row>
    <row r="1307">
      <c r="A1307" s="5"/>
      <c r="B1307" s="5"/>
      <c r="C1307" s="5"/>
      <c r="D1307" s="5"/>
      <c r="E1307" s="3"/>
      <c r="F1307" s="5"/>
      <c r="G1307" s="5"/>
      <c r="H1307" s="5"/>
      <c r="I1307" s="3"/>
      <c r="J1307" s="3"/>
      <c r="K1307" s="3"/>
      <c r="L1307" s="3"/>
      <c r="M1307" s="3"/>
      <c r="N1307" s="3"/>
      <c r="O1307" s="3"/>
      <c r="P1307" s="3"/>
      <c r="Q1307" s="3"/>
      <c r="R1307" s="3"/>
      <c r="S1307" s="3"/>
      <c r="T1307" s="3"/>
      <c r="U1307" s="3"/>
      <c r="V1307" s="3"/>
      <c r="W1307" s="3"/>
      <c r="X1307" s="3"/>
      <c r="Y1307" s="3"/>
    </row>
    <row r="1308">
      <c r="A1308" s="5"/>
      <c r="B1308" s="5"/>
      <c r="C1308" s="5"/>
      <c r="D1308" s="5"/>
      <c r="E1308" s="3"/>
      <c r="F1308" s="5"/>
      <c r="G1308" s="5"/>
      <c r="H1308" s="5"/>
      <c r="I1308" s="3"/>
      <c r="J1308" s="3"/>
      <c r="K1308" s="3"/>
      <c r="L1308" s="3"/>
      <c r="M1308" s="3"/>
      <c r="N1308" s="3"/>
      <c r="O1308" s="3"/>
      <c r="P1308" s="3"/>
      <c r="Q1308" s="3"/>
      <c r="R1308" s="3"/>
      <c r="S1308" s="3"/>
      <c r="T1308" s="3"/>
      <c r="U1308" s="3"/>
      <c r="V1308" s="3"/>
      <c r="W1308" s="3"/>
      <c r="X1308" s="3"/>
      <c r="Y1308" s="3"/>
    </row>
    <row r="1309">
      <c r="A1309" s="5"/>
      <c r="B1309" s="5"/>
      <c r="C1309" s="5"/>
      <c r="D1309" s="5"/>
      <c r="E1309" s="3"/>
      <c r="F1309" s="5"/>
      <c r="G1309" s="5"/>
      <c r="H1309" s="5"/>
      <c r="I1309" s="3"/>
      <c r="J1309" s="3"/>
      <c r="K1309" s="3"/>
      <c r="L1309" s="3"/>
      <c r="M1309" s="3"/>
      <c r="N1309" s="3"/>
      <c r="O1309" s="3"/>
      <c r="P1309" s="3"/>
      <c r="Q1309" s="3"/>
      <c r="R1309" s="3"/>
      <c r="S1309" s="3"/>
      <c r="T1309" s="3"/>
      <c r="U1309" s="3"/>
      <c r="V1309" s="3"/>
      <c r="W1309" s="3"/>
      <c r="X1309" s="3"/>
      <c r="Y1309" s="3"/>
    </row>
    <row r="1310">
      <c r="A1310" s="5"/>
      <c r="B1310" s="5"/>
      <c r="C1310" s="5"/>
      <c r="D1310" s="5"/>
      <c r="E1310" s="3"/>
      <c r="F1310" s="5"/>
      <c r="G1310" s="5"/>
      <c r="H1310" s="5"/>
      <c r="I1310" s="3"/>
      <c r="J1310" s="3"/>
      <c r="K1310" s="3"/>
      <c r="L1310" s="3"/>
      <c r="M1310" s="3"/>
      <c r="N1310" s="3"/>
      <c r="O1310" s="3"/>
      <c r="P1310" s="3"/>
      <c r="Q1310" s="3"/>
      <c r="R1310" s="3"/>
      <c r="S1310" s="3"/>
      <c r="T1310" s="3"/>
      <c r="U1310" s="3"/>
      <c r="V1310" s="3"/>
      <c r="W1310" s="3"/>
      <c r="X1310" s="3"/>
      <c r="Y1310" s="3"/>
    </row>
    <row r="1311">
      <c r="A1311" s="5"/>
      <c r="B1311" s="5"/>
      <c r="C1311" s="5"/>
      <c r="D1311" s="5"/>
      <c r="E1311" s="3"/>
      <c r="F1311" s="5"/>
      <c r="G1311" s="5"/>
      <c r="H1311" s="5"/>
      <c r="I1311" s="3"/>
      <c r="J1311" s="3"/>
      <c r="K1311" s="3"/>
      <c r="L1311" s="3"/>
      <c r="M1311" s="3"/>
      <c r="N1311" s="3"/>
      <c r="O1311" s="3"/>
      <c r="P1311" s="3"/>
      <c r="Q1311" s="3"/>
      <c r="R1311" s="3"/>
      <c r="S1311" s="3"/>
      <c r="T1311" s="3"/>
      <c r="U1311" s="3"/>
      <c r="V1311" s="3"/>
      <c r="W1311" s="3"/>
      <c r="X1311" s="3"/>
      <c r="Y1311" s="3"/>
    </row>
    <row r="1312">
      <c r="A1312" s="5"/>
      <c r="B1312" s="5"/>
      <c r="C1312" s="5"/>
      <c r="D1312" s="5"/>
      <c r="E1312" s="3"/>
      <c r="F1312" s="5"/>
      <c r="G1312" s="5"/>
      <c r="H1312" s="5"/>
      <c r="I1312" s="3"/>
      <c r="J1312" s="3"/>
      <c r="K1312" s="3"/>
      <c r="L1312" s="3"/>
      <c r="M1312" s="3"/>
      <c r="N1312" s="3"/>
      <c r="O1312" s="3"/>
      <c r="P1312" s="3"/>
      <c r="Q1312" s="3"/>
      <c r="R1312" s="3"/>
      <c r="S1312" s="3"/>
      <c r="T1312" s="3"/>
      <c r="U1312" s="3"/>
      <c r="V1312" s="3"/>
      <c r="W1312" s="3"/>
      <c r="X1312" s="3"/>
      <c r="Y1312" s="3"/>
    </row>
    <row r="1313">
      <c r="A1313" s="5"/>
      <c r="B1313" s="5"/>
      <c r="C1313" s="5"/>
      <c r="D1313" s="5"/>
      <c r="E1313" s="3"/>
      <c r="F1313" s="5"/>
      <c r="G1313" s="5"/>
      <c r="H1313" s="5"/>
      <c r="I1313" s="3"/>
      <c r="J1313" s="3"/>
      <c r="K1313" s="3"/>
      <c r="L1313" s="3"/>
      <c r="M1313" s="3"/>
      <c r="N1313" s="3"/>
      <c r="O1313" s="3"/>
      <c r="P1313" s="3"/>
      <c r="Q1313" s="3"/>
      <c r="R1313" s="3"/>
      <c r="S1313" s="3"/>
      <c r="T1313" s="3"/>
      <c r="U1313" s="3"/>
      <c r="V1313" s="3"/>
      <c r="W1313" s="3"/>
      <c r="X1313" s="3"/>
      <c r="Y1313" s="3"/>
    </row>
    <row r="1314">
      <c r="A1314" s="5"/>
      <c r="B1314" s="5"/>
      <c r="C1314" s="5"/>
      <c r="D1314" s="5"/>
      <c r="E1314" s="3"/>
      <c r="F1314" s="5"/>
      <c r="G1314" s="5"/>
      <c r="H1314" s="5"/>
      <c r="I1314" s="3"/>
      <c r="J1314" s="3"/>
      <c r="K1314" s="3"/>
      <c r="L1314" s="3"/>
      <c r="M1314" s="3"/>
      <c r="N1314" s="3"/>
      <c r="O1314" s="3"/>
      <c r="P1314" s="3"/>
      <c r="Q1314" s="3"/>
      <c r="R1314" s="3"/>
      <c r="S1314" s="3"/>
      <c r="T1314" s="3"/>
      <c r="U1314" s="3"/>
      <c r="V1314" s="3"/>
      <c r="W1314" s="3"/>
      <c r="X1314" s="3"/>
      <c r="Y1314" s="3"/>
    </row>
    <row r="1315">
      <c r="A1315" s="5"/>
      <c r="B1315" s="5"/>
      <c r="C1315" s="5"/>
      <c r="D1315" s="5"/>
      <c r="E1315" s="3"/>
      <c r="F1315" s="5"/>
      <c r="G1315" s="5"/>
      <c r="H1315" s="5"/>
      <c r="I1315" s="3"/>
      <c r="J1315" s="3"/>
      <c r="K1315" s="3"/>
      <c r="L1315" s="3"/>
      <c r="M1315" s="3"/>
      <c r="N1315" s="3"/>
      <c r="O1315" s="3"/>
      <c r="P1315" s="3"/>
      <c r="Q1315" s="3"/>
      <c r="R1315" s="3"/>
      <c r="S1315" s="3"/>
      <c r="T1315" s="3"/>
      <c r="U1315" s="3"/>
      <c r="V1315" s="3"/>
      <c r="W1315" s="3"/>
      <c r="X1315" s="3"/>
      <c r="Y1315" s="3"/>
    </row>
    <row r="1316">
      <c r="A1316" s="5"/>
      <c r="B1316" s="5"/>
      <c r="C1316" s="5"/>
      <c r="D1316" s="5"/>
      <c r="E1316" s="3"/>
      <c r="F1316" s="5"/>
      <c r="G1316" s="5"/>
      <c r="H1316" s="5"/>
      <c r="I1316" s="3"/>
      <c r="J1316" s="3"/>
      <c r="K1316" s="3"/>
      <c r="L1316" s="3"/>
      <c r="M1316" s="3"/>
      <c r="N1316" s="3"/>
      <c r="O1316" s="3"/>
      <c r="P1316" s="3"/>
      <c r="Q1316" s="3"/>
      <c r="R1316" s="3"/>
      <c r="S1316" s="3"/>
      <c r="T1316" s="3"/>
      <c r="U1316" s="3"/>
      <c r="V1316" s="3"/>
      <c r="W1316" s="3"/>
      <c r="X1316" s="3"/>
      <c r="Y1316" s="3"/>
    </row>
    <row r="1317">
      <c r="A1317" s="5"/>
      <c r="B1317" s="5"/>
      <c r="C1317" s="5"/>
      <c r="D1317" s="5"/>
      <c r="E1317" s="3"/>
      <c r="F1317" s="5"/>
      <c r="G1317" s="5"/>
      <c r="H1317" s="5"/>
      <c r="I1317" s="3"/>
      <c r="J1317" s="3"/>
      <c r="K1317" s="3"/>
      <c r="L1317" s="3"/>
      <c r="M1317" s="3"/>
      <c r="N1317" s="3"/>
      <c r="O1317" s="3"/>
      <c r="P1317" s="3"/>
      <c r="Q1317" s="3"/>
      <c r="R1317" s="3"/>
      <c r="S1317" s="3"/>
      <c r="T1317" s="3"/>
      <c r="U1317" s="3"/>
      <c r="V1317" s="3"/>
      <c r="W1317" s="3"/>
      <c r="X1317" s="3"/>
      <c r="Y1317" s="3"/>
    </row>
    <row r="1318">
      <c r="A1318" s="5"/>
      <c r="B1318" s="5"/>
      <c r="C1318" s="5"/>
      <c r="D1318" s="5"/>
      <c r="E1318" s="3"/>
      <c r="F1318" s="5"/>
      <c r="G1318" s="5"/>
      <c r="H1318" s="5"/>
      <c r="I1318" s="3"/>
      <c r="J1318" s="3"/>
      <c r="K1318" s="3"/>
      <c r="L1318" s="3"/>
      <c r="M1318" s="3"/>
      <c r="N1318" s="3"/>
      <c r="O1318" s="3"/>
      <c r="P1318" s="3"/>
      <c r="Q1318" s="3"/>
      <c r="R1318" s="3"/>
      <c r="S1318" s="3"/>
      <c r="T1318" s="3"/>
      <c r="U1318" s="3"/>
      <c r="V1318" s="3"/>
      <c r="W1318" s="3"/>
      <c r="X1318" s="3"/>
      <c r="Y1318" s="3"/>
    </row>
    <row r="1319">
      <c r="A1319" s="5"/>
      <c r="B1319" s="5"/>
      <c r="C1319" s="5"/>
      <c r="D1319" s="5"/>
      <c r="E1319" s="3"/>
      <c r="F1319" s="5"/>
      <c r="G1319" s="5"/>
      <c r="H1319" s="5"/>
      <c r="I1319" s="3"/>
      <c r="J1319" s="3"/>
      <c r="K1319" s="3"/>
      <c r="L1319" s="3"/>
      <c r="M1319" s="3"/>
      <c r="N1319" s="3"/>
      <c r="O1319" s="3"/>
      <c r="P1319" s="3"/>
      <c r="Q1319" s="3"/>
      <c r="R1319" s="3"/>
      <c r="S1319" s="3"/>
      <c r="T1319" s="3"/>
      <c r="U1319" s="3"/>
      <c r="V1319" s="3"/>
      <c r="W1319" s="3"/>
      <c r="X1319" s="3"/>
      <c r="Y1319" s="3"/>
    </row>
    <row r="1320">
      <c r="A1320" s="5"/>
      <c r="B1320" s="5"/>
      <c r="C1320" s="5"/>
      <c r="D1320" s="5"/>
      <c r="E1320" s="3"/>
      <c r="F1320" s="5"/>
      <c r="G1320" s="5"/>
      <c r="H1320" s="5"/>
      <c r="I1320" s="3"/>
      <c r="J1320" s="3"/>
      <c r="K1320" s="3"/>
      <c r="L1320" s="3"/>
      <c r="M1320" s="3"/>
      <c r="N1320" s="3"/>
      <c r="O1320" s="3"/>
      <c r="P1320" s="3"/>
      <c r="Q1320" s="3"/>
      <c r="R1320" s="3"/>
      <c r="S1320" s="3"/>
      <c r="T1320" s="3"/>
      <c r="U1320" s="3"/>
      <c r="V1320" s="3"/>
      <c r="W1320" s="3"/>
      <c r="X1320" s="3"/>
      <c r="Y1320" s="3"/>
    </row>
    <row r="1321">
      <c r="A1321" s="5"/>
      <c r="B1321" s="5"/>
      <c r="C1321" s="5"/>
      <c r="D1321" s="5"/>
      <c r="E1321" s="3"/>
      <c r="F1321" s="5"/>
      <c r="G1321" s="5"/>
      <c r="H1321" s="5"/>
      <c r="I1321" s="3"/>
      <c r="J1321" s="3"/>
      <c r="K1321" s="3"/>
      <c r="L1321" s="3"/>
      <c r="M1321" s="3"/>
      <c r="N1321" s="3"/>
      <c r="O1321" s="3"/>
      <c r="P1321" s="3"/>
      <c r="Q1321" s="3"/>
      <c r="R1321" s="3"/>
      <c r="S1321" s="3"/>
      <c r="T1321" s="3"/>
      <c r="U1321" s="3"/>
      <c r="V1321" s="3"/>
      <c r="W1321" s="3"/>
      <c r="X1321" s="3"/>
      <c r="Y1321" s="3"/>
    </row>
    <row r="1322">
      <c r="A1322" s="5"/>
      <c r="B1322" s="5"/>
      <c r="C1322" s="5"/>
      <c r="D1322" s="5"/>
      <c r="E1322" s="3"/>
      <c r="F1322" s="5"/>
      <c r="G1322" s="5"/>
      <c r="H1322" s="5"/>
      <c r="I1322" s="3"/>
      <c r="J1322" s="3"/>
      <c r="K1322" s="3"/>
      <c r="L1322" s="3"/>
      <c r="M1322" s="3"/>
      <c r="N1322" s="3"/>
      <c r="O1322" s="3"/>
      <c r="P1322" s="3"/>
      <c r="Q1322" s="3"/>
      <c r="R1322" s="3"/>
      <c r="S1322" s="3"/>
      <c r="T1322" s="3"/>
      <c r="U1322" s="3"/>
      <c r="V1322" s="3"/>
      <c r="W1322" s="3"/>
      <c r="X1322" s="3"/>
      <c r="Y1322" s="3"/>
    </row>
    <row r="1323">
      <c r="A1323" s="5"/>
      <c r="B1323" s="5"/>
      <c r="C1323" s="5"/>
      <c r="D1323" s="5"/>
      <c r="E1323" s="3"/>
      <c r="F1323" s="5"/>
      <c r="G1323" s="5"/>
      <c r="H1323" s="5"/>
      <c r="I1323" s="3"/>
      <c r="J1323" s="3"/>
      <c r="K1323" s="3"/>
      <c r="L1323" s="3"/>
      <c r="M1323" s="3"/>
      <c r="N1323" s="3"/>
      <c r="O1323" s="3"/>
      <c r="P1323" s="3"/>
      <c r="Q1323" s="3"/>
      <c r="R1323" s="3"/>
      <c r="S1323" s="3"/>
      <c r="T1323" s="3"/>
      <c r="U1323" s="3"/>
      <c r="V1323" s="3"/>
      <c r="W1323" s="3"/>
      <c r="X1323" s="3"/>
      <c r="Y1323" s="3"/>
    </row>
    <row r="1324">
      <c r="A1324" s="5"/>
      <c r="B1324" s="5"/>
      <c r="C1324" s="5"/>
      <c r="D1324" s="5"/>
      <c r="E1324" s="3"/>
      <c r="F1324" s="5"/>
      <c r="G1324" s="5"/>
      <c r="H1324" s="5"/>
      <c r="I1324" s="3"/>
      <c r="J1324" s="3"/>
      <c r="K1324" s="3"/>
      <c r="L1324" s="3"/>
      <c r="M1324" s="3"/>
      <c r="N1324" s="3"/>
      <c r="O1324" s="3"/>
      <c r="P1324" s="3"/>
      <c r="Q1324" s="3"/>
      <c r="R1324" s="3"/>
      <c r="S1324" s="3"/>
      <c r="T1324" s="3"/>
      <c r="U1324" s="3"/>
      <c r="V1324" s="3"/>
      <c r="W1324" s="3"/>
      <c r="X1324" s="3"/>
      <c r="Y1324" s="3"/>
    </row>
    <row r="1325">
      <c r="A1325" s="5"/>
      <c r="B1325" s="5"/>
      <c r="C1325" s="5"/>
      <c r="D1325" s="5"/>
      <c r="E1325" s="3"/>
      <c r="F1325" s="5"/>
      <c r="G1325" s="5"/>
      <c r="H1325" s="5"/>
      <c r="I1325" s="3"/>
      <c r="J1325" s="3"/>
      <c r="K1325" s="3"/>
      <c r="L1325" s="3"/>
      <c r="M1325" s="3"/>
      <c r="N1325" s="3"/>
      <c r="O1325" s="3"/>
      <c r="P1325" s="3"/>
      <c r="Q1325" s="3"/>
      <c r="R1325" s="3"/>
      <c r="S1325" s="3"/>
      <c r="T1325" s="3"/>
      <c r="U1325" s="3"/>
      <c r="V1325" s="3"/>
      <c r="W1325" s="3"/>
      <c r="X1325" s="3"/>
      <c r="Y1325" s="3"/>
    </row>
    <row r="1326">
      <c r="A1326" s="5"/>
      <c r="B1326" s="5"/>
      <c r="C1326" s="5"/>
      <c r="D1326" s="5"/>
      <c r="E1326" s="3"/>
      <c r="F1326" s="5"/>
      <c r="G1326" s="5"/>
      <c r="H1326" s="5"/>
      <c r="I1326" s="3"/>
      <c r="J1326" s="3"/>
      <c r="K1326" s="3"/>
      <c r="L1326" s="3"/>
      <c r="M1326" s="3"/>
      <c r="N1326" s="3"/>
      <c r="O1326" s="3"/>
      <c r="P1326" s="3"/>
      <c r="Q1326" s="3"/>
      <c r="R1326" s="3"/>
      <c r="S1326" s="3"/>
      <c r="T1326" s="3"/>
      <c r="U1326" s="3"/>
      <c r="V1326" s="3"/>
      <c r="W1326" s="3"/>
      <c r="X1326" s="3"/>
      <c r="Y1326" s="3"/>
    </row>
    <row r="1327">
      <c r="A1327" s="5"/>
      <c r="B1327" s="5"/>
      <c r="C1327" s="5"/>
      <c r="D1327" s="5"/>
      <c r="E1327" s="3"/>
      <c r="F1327" s="5"/>
      <c r="G1327" s="5"/>
      <c r="H1327" s="5"/>
      <c r="I1327" s="3"/>
      <c r="J1327" s="3"/>
      <c r="K1327" s="3"/>
      <c r="L1327" s="3"/>
      <c r="M1327" s="3"/>
      <c r="N1327" s="3"/>
      <c r="O1327" s="3"/>
      <c r="P1327" s="3"/>
      <c r="Q1327" s="3"/>
      <c r="R1327" s="3"/>
      <c r="S1327" s="3"/>
      <c r="T1327" s="3"/>
      <c r="U1327" s="3"/>
      <c r="V1327" s="3"/>
      <c r="W1327" s="3"/>
      <c r="X1327" s="3"/>
      <c r="Y1327" s="3"/>
    </row>
    <row r="1328">
      <c r="A1328" s="5"/>
      <c r="B1328" s="5"/>
      <c r="C1328" s="5"/>
      <c r="D1328" s="5"/>
      <c r="E1328" s="3"/>
      <c r="F1328" s="5"/>
      <c r="G1328" s="5"/>
      <c r="H1328" s="5"/>
      <c r="I1328" s="3"/>
      <c r="J1328" s="3"/>
      <c r="K1328" s="3"/>
      <c r="L1328" s="3"/>
      <c r="M1328" s="3"/>
      <c r="N1328" s="3"/>
      <c r="O1328" s="3"/>
      <c r="P1328" s="3"/>
      <c r="Q1328" s="3"/>
      <c r="R1328" s="3"/>
      <c r="S1328" s="3"/>
      <c r="T1328" s="3"/>
      <c r="U1328" s="3"/>
      <c r="V1328" s="3"/>
      <c r="W1328" s="3"/>
      <c r="X1328" s="3"/>
      <c r="Y1328" s="3"/>
    </row>
    <row r="1329">
      <c r="A1329" s="5"/>
      <c r="B1329" s="5"/>
      <c r="C1329" s="5"/>
      <c r="D1329" s="5"/>
      <c r="E1329" s="3"/>
      <c r="F1329" s="5"/>
      <c r="G1329" s="5"/>
      <c r="H1329" s="5"/>
      <c r="I1329" s="3"/>
      <c r="J1329" s="3"/>
      <c r="K1329" s="3"/>
      <c r="L1329" s="3"/>
      <c r="M1329" s="3"/>
      <c r="N1329" s="3"/>
      <c r="O1329" s="3"/>
      <c r="P1329" s="3"/>
      <c r="Q1329" s="3"/>
      <c r="R1329" s="3"/>
      <c r="S1329" s="3"/>
      <c r="T1329" s="3"/>
      <c r="U1329" s="3"/>
      <c r="V1329" s="3"/>
      <c r="W1329" s="3"/>
      <c r="X1329" s="3"/>
      <c r="Y1329" s="3"/>
    </row>
    <row r="1330">
      <c r="A1330" s="5"/>
      <c r="B1330" s="5"/>
      <c r="C1330" s="5"/>
      <c r="D1330" s="5"/>
      <c r="E1330" s="3"/>
      <c r="F1330" s="5"/>
      <c r="G1330" s="5"/>
      <c r="H1330" s="5"/>
      <c r="I1330" s="3"/>
      <c r="J1330" s="3"/>
      <c r="K1330" s="3"/>
      <c r="L1330" s="3"/>
      <c r="M1330" s="3"/>
      <c r="N1330" s="3"/>
      <c r="O1330" s="3"/>
      <c r="P1330" s="3"/>
      <c r="Q1330" s="3"/>
      <c r="R1330" s="3"/>
      <c r="S1330" s="3"/>
      <c r="T1330" s="3"/>
      <c r="U1330" s="3"/>
      <c r="V1330" s="3"/>
      <c r="W1330" s="3"/>
      <c r="X1330" s="3"/>
      <c r="Y1330" s="3"/>
    </row>
    <row r="1331">
      <c r="A1331" s="5"/>
      <c r="B1331" s="5"/>
      <c r="C1331" s="5"/>
      <c r="D1331" s="5"/>
      <c r="E1331" s="3"/>
      <c r="F1331" s="5"/>
      <c r="G1331" s="5"/>
      <c r="H1331" s="5"/>
      <c r="I1331" s="3"/>
      <c r="J1331" s="3"/>
      <c r="K1331" s="3"/>
      <c r="L1331" s="3"/>
      <c r="M1331" s="3"/>
      <c r="N1331" s="3"/>
      <c r="O1331" s="3"/>
      <c r="P1331" s="3"/>
      <c r="Q1331" s="3"/>
      <c r="R1331" s="3"/>
      <c r="S1331" s="3"/>
      <c r="T1331" s="3"/>
      <c r="U1331" s="3"/>
      <c r="V1331" s="3"/>
      <c r="W1331" s="3"/>
      <c r="X1331" s="3"/>
      <c r="Y1331" s="3"/>
    </row>
    <row r="1332">
      <c r="A1332" s="5"/>
      <c r="B1332" s="5"/>
      <c r="C1332" s="5"/>
      <c r="D1332" s="5"/>
      <c r="E1332" s="3"/>
      <c r="F1332" s="5"/>
      <c r="G1332" s="5"/>
      <c r="H1332" s="5"/>
      <c r="I1332" s="3"/>
      <c r="J1332" s="3"/>
      <c r="K1332" s="3"/>
      <c r="L1332" s="3"/>
      <c r="M1332" s="3"/>
      <c r="N1332" s="3"/>
      <c r="O1332" s="3"/>
      <c r="P1332" s="3"/>
      <c r="Q1332" s="3"/>
      <c r="R1332" s="3"/>
      <c r="S1332" s="3"/>
      <c r="T1332" s="3"/>
      <c r="U1332" s="3"/>
      <c r="V1332" s="3"/>
      <c r="W1332" s="3"/>
      <c r="X1332" s="3"/>
      <c r="Y1332" s="3"/>
    </row>
    <row r="1333">
      <c r="A1333" s="5"/>
      <c r="B1333" s="5"/>
      <c r="C1333" s="5"/>
      <c r="D1333" s="5"/>
      <c r="E1333" s="3"/>
      <c r="F1333" s="5"/>
      <c r="G1333" s="5"/>
      <c r="H1333" s="5"/>
      <c r="I1333" s="3"/>
      <c r="J1333" s="3"/>
      <c r="K1333" s="3"/>
      <c r="L1333" s="3"/>
      <c r="M1333" s="3"/>
      <c r="N1333" s="3"/>
      <c r="O1333" s="3"/>
      <c r="P1333" s="3"/>
      <c r="Q1333" s="3"/>
      <c r="R1333" s="3"/>
      <c r="S1333" s="3"/>
      <c r="T1333" s="3"/>
      <c r="U1333" s="3"/>
      <c r="V1333" s="3"/>
      <c r="W1333" s="3"/>
      <c r="X1333" s="3"/>
      <c r="Y1333" s="3"/>
    </row>
    <row r="1334">
      <c r="A1334" s="5"/>
      <c r="B1334" s="5"/>
      <c r="C1334" s="5"/>
      <c r="D1334" s="5"/>
      <c r="E1334" s="3"/>
      <c r="F1334" s="5"/>
      <c r="G1334" s="5"/>
      <c r="H1334" s="5"/>
      <c r="I1334" s="3"/>
      <c r="J1334" s="3"/>
      <c r="K1334" s="3"/>
      <c r="L1334" s="3"/>
      <c r="M1334" s="3"/>
      <c r="N1334" s="3"/>
      <c r="O1334" s="3"/>
      <c r="P1334" s="3"/>
      <c r="Q1334" s="3"/>
      <c r="R1334" s="3"/>
      <c r="S1334" s="3"/>
      <c r="T1334" s="3"/>
      <c r="U1334" s="3"/>
      <c r="V1334" s="3"/>
      <c r="W1334" s="3"/>
      <c r="X1334" s="3"/>
      <c r="Y1334" s="3"/>
    </row>
    <row r="1335">
      <c r="A1335" s="5"/>
      <c r="B1335" s="5"/>
      <c r="C1335" s="5"/>
      <c r="D1335" s="5"/>
      <c r="E1335" s="3"/>
      <c r="F1335" s="5"/>
      <c r="G1335" s="5"/>
      <c r="H1335" s="5"/>
      <c r="I1335" s="3"/>
      <c r="J1335" s="3"/>
      <c r="K1335" s="3"/>
      <c r="L1335" s="3"/>
      <c r="M1335" s="3"/>
      <c r="N1335" s="3"/>
      <c r="O1335" s="3"/>
      <c r="P1335" s="3"/>
      <c r="Q1335" s="3"/>
      <c r="R1335" s="3"/>
      <c r="S1335" s="3"/>
      <c r="T1335" s="3"/>
      <c r="U1335" s="3"/>
      <c r="V1335" s="3"/>
      <c r="W1335" s="3"/>
      <c r="X1335" s="3"/>
      <c r="Y1335" s="3"/>
    </row>
    <row r="1336">
      <c r="A1336" s="5"/>
      <c r="B1336" s="5"/>
      <c r="C1336" s="5"/>
      <c r="D1336" s="5"/>
      <c r="E1336" s="3"/>
      <c r="F1336" s="5"/>
      <c r="G1336" s="5"/>
      <c r="H1336" s="5"/>
      <c r="I1336" s="3"/>
      <c r="J1336" s="3"/>
      <c r="K1336" s="3"/>
      <c r="L1336" s="3"/>
      <c r="M1336" s="3"/>
      <c r="N1336" s="3"/>
      <c r="O1336" s="3"/>
      <c r="P1336" s="3"/>
      <c r="Q1336" s="3"/>
      <c r="R1336" s="3"/>
      <c r="S1336" s="3"/>
      <c r="T1336" s="3"/>
      <c r="U1336" s="3"/>
      <c r="V1336" s="3"/>
      <c r="W1336" s="3"/>
      <c r="X1336" s="3"/>
      <c r="Y1336" s="3"/>
    </row>
    <row r="1337">
      <c r="A1337" s="5"/>
      <c r="B1337" s="5"/>
      <c r="C1337" s="5"/>
      <c r="D1337" s="5"/>
      <c r="E1337" s="3"/>
      <c r="F1337" s="5"/>
      <c r="G1337" s="5"/>
      <c r="H1337" s="5"/>
      <c r="I1337" s="3"/>
      <c r="J1337" s="3"/>
      <c r="K1337" s="3"/>
      <c r="L1337" s="3"/>
      <c r="M1337" s="3"/>
      <c r="N1337" s="3"/>
      <c r="O1337" s="3"/>
      <c r="P1337" s="3"/>
      <c r="Q1337" s="3"/>
      <c r="R1337" s="3"/>
      <c r="S1337" s="3"/>
      <c r="T1337" s="3"/>
      <c r="U1337" s="3"/>
      <c r="V1337" s="3"/>
      <c r="W1337" s="3"/>
      <c r="X1337" s="3"/>
      <c r="Y1337" s="3"/>
    </row>
    <row r="1338">
      <c r="A1338" s="5"/>
      <c r="B1338" s="5"/>
      <c r="C1338" s="5"/>
      <c r="D1338" s="5"/>
      <c r="E1338" s="3"/>
      <c r="F1338" s="5"/>
      <c r="G1338" s="5"/>
      <c r="H1338" s="5"/>
      <c r="I1338" s="3"/>
      <c r="J1338" s="3"/>
      <c r="K1338" s="3"/>
      <c r="L1338" s="3"/>
      <c r="M1338" s="3"/>
      <c r="N1338" s="3"/>
      <c r="O1338" s="3"/>
      <c r="P1338" s="3"/>
      <c r="Q1338" s="3"/>
      <c r="R1338" s="3"/>
      <c r="S1338" s="3"/>
      <c r="T1338" s="3"/>
      <c r="U1338" s="3"/>
      <c r="V1338" s="3"/>
      <c r="W1338" s="3"/>
      <c r="X1338" s="3"/>
      <c r="Y1338" s="3"/>
    </row>
    <row r="1339">
      <c r="A1339" s="5"/>
      <c r="B1339" s="5"/>
      <c r="C1339" s="5"/>
      <c r="D1339" s="5"/>
      <c r="E1339" s="3"/>
      <c r="F1339" s="5"/>
      <c r="G1339" s="5"/>
      <c r="H1339" s="5"/>
      <c r="I1339" s="3"/>
      <c r="J1339" s="3"/>
      <c r="K1339" s="3"/>
      <c r="L1339" s="3"/>
      <c r="M1339" s="3"/>
      <c r="N1339" s="3"/>
      <c r="O1339" s="3"/>
      <c r="P1339" s="3"/>
      <c r="Q1339" s="3"/>
      <c r="R1339" s="3"/>
      <c r="S1339" s="3"/>
      <c r="T1339" s="3"/>
      <c r="U1339" s="3"/>
      <c r="V1339" s="3"/>
      <c r="W1339" s="3"/>
      <c r="X1339" s="3"/>
      <c r="Y1339" s="3"/>
    </row>
    <row r="1340">
      <c r="A1340" s="5"/>
      <c r="B1340" s="5"/>
      <c r="C1340" s="5"/>
      <c r="D1340" s="5"/>
      <c r="E1340" s="3"/>
      <c r="F1340" s="5"/>
      <c r="G1340" s="5"/>
      <c r="H1340" s="5"/>
      <c r="I1340" s="3"/>
      <c r="J1340" s="3"/>
      <c r="K1340" s="3"/>
      <c r="L1340" s="3"/>
      <c r="M1340" s="3"/>
      <c r="N1340" s="3"/>
      <c r="O1340" s="3"/>
      <c r="P1340" s="3"/>
      <c r="Q1340" s="3"/>
      <c r="R1340" s="3"/>
      <c r="S1340" s="3"/>
      <c r="T1340" s="3"/>
      <c r="U1340" s="3"/>
      <c r="V1340" s="3"/>
      <c r="W1340" s="3"/>
      <c r="X1340" s="3"/>
      <c r="Y1340" s="3"/>
    </row>
    <row r="1341">
      <c r="A1341" s="5"/>
      <c r="B1341" s="5"/>
      <c r="C1341" s="5"/>
      <c r="D1341" s="5"/>
      <c r="E1341" s="3"/>
      <c r="F1341" s="5"/>
      <c r="G1341" s="5"/>
      <c r="H1341" s="5"/>
      <c r="I1341" s="3"/>
      <c r="J1341" s="3"/>
      <c r="K1341" s="3"/>
      <c r="L1341" s="3"/>
      <c r="M1341" s="3"/>
      <c r="N1341" s="3"/>
      <c r="O1341" s="3"/>
      <c r="P1341" s="3"/>
      <c r="Q1341" s="3"/>
      <c r="R1341" s="3"/>
      <c r="S1341" s="3"/>
      <c r="T1341" s="3"/>
      <c r="U1341" s="3"/>
      <c r="V1341" s="3"/>
      <c r="W1341" s="3"/>
      <c r="X1341" s="3"/>
      <c r="Y1341" s="3"/>
    </row>
    <row r="1342">
      <c r="A1342" s="5"/>
      <c r="B1342" s="5"/>
      <c r="C1342" s="5"/>
      <c r="D1342" s="5"/>
      <c r="E1342" s="3"/>
      <c r="F1342" s="5"/>
      <c r="G1342" s="5"/>
      <c r="H1342" s="5"/>
      <c r="I1342" s="3"/>
      <c r="J1342" s="3"/>
      <c r="K1342" s="3"/>
      <c r="L1342" s="3"/>
      <c r="M1342" s="3"/>
      <c r="N1342" s="3"/>
      <c r="O1342" s="3"/>
      <c r="P1342" s="3"/>
      <c r="Q1342" s="3"/>
      <c r="R1342" s="3"/>
      <c r="S1342" s="3"/>
      <c r="T1342" s="3"/>
      <c r="U1342" s="3"/>
      <c r="V1342" s="3"/>
      <c r="W1342" s="3"/>
      <c r="X1342" s="3"/>
      <c r="Y1342" s="3"/>
    </row>
    <row r="1343">
      <c r="A1343" s="5"/>
      <c r="B1343" s="5"/>
      <c r="C1343" s="5"/>
      <c r="D1343" s="5"/>
      <c r="E1343" s="3"/>
      <c r="F1343" s="5"/>
      <c r="G1343" s="5"/>
      <c r="H1343" s="5"/>
      <c r="I1343" s="3"/>
      <c r="J1343" s="3"/>
      <c r="K1343" s="3"/>
      <c r="L1343" s="3"/>
      <c r="M1343" s="3"/>
      <c r="N1343" s="3"/>
      <c r="O1343" s="3"/>
      <c r="P1343" s="3"/>
      <c r="Q1343" s="3"/>
      <c r="R1343" s="3"/>
      <c r="S1343" s="3"/>
      <c r="T1343" s="3"/>
      <c r="U1343" s="3"/>
      <c r="V1343" s="3"/>
      <c r="W1343" s="3"/>
      <c r="X1343" s="3"/>
      <c r="Y1343" s="3"/>
    </row>
    <row r="1344">
      <c r="A1344" s="5"/>
      <c r="B1344" s="5"/>
      <c r="C1344" s="5"/>
      <c r="D1344" s="5"/>
      <c r="E1344" s="3"/>
      <c r="F1344" s="5"/>
      <c r="G1344" s="5"/>
      <c r="H1344" s="5"/>
      <c r="I1344" s="3"/>
      <c r="J1344" s="3"/>
      <c r="K1344" s="3"/>
      <c r="L1344" s="3"/>
      <c r="M1344" s="3"/>
      <c r="N1344" s="3"/>
      <c r="O1344" s="3"/>
      <c r="P1344" s="3"/>
      <c r="Q1344" s="3"/>
      <c r="R1344" s="3"/>
      <c r="S1344" s="3"/>
      <c r="T1344" s="3"/>
      <c r="U1344" s="3"/>
      <c r="V1344" s="3"/>
      <c r="W1344" s="3"/>
      <c r="X1344" s="3"/>
      <c r="Y1344" s="3"/>
    </row>
    <row r="1345">
      <c r="A1345" s="5"/>
      <c r="B1345" s="5"/>
      <c r="C1345" s="5"/>
      <c r="D1345" s="5"/>
      <c r="E1345" s="3"/>
      <c r="F1345" s="5"/>
      <c r="G1345" s="5"/>
      <c r="H1345" s="5"/>
      <c r="I1345" s="3"/>
      <c r="J1345" s="3"/>
      <c r="K1345" s="3"/>
      <c r="L1345" s="3"/>
      <c r="M1345" s="3"/>
      <c r="N1345" s="3"/>
      <c r="O1345" s="3"/>
      <c r="P1345" s="3"/>
      <c r="Q1345" s="3"/>
      <c r="R1345" s="3"/>
      <c r="S1345" s="3"/>
      <c r="T1345" s="3"/>
      <c r="U1345" s="3"/>
      <c r="V1345" s="3"/>
      <c r="W1345" s="3"/>
      <c r="X1345" s="3"/>
      <c r="Y1345" s="3"/>
    </row>
    <row r="1346">
      <c r="A1346" s="5"/>
      <c r="B1346" s="5"/>
      <c r="C1346" s="5"/>
      <c r="D1346" s="5"/>
      <c r="E1346" s="3"/>
      <c r="F1346" s="5"/>
      <c r="G1346" s="5"/>
      <c r="H1346" s="5"/>
      <c r="I1346" s="3"/>
      <c r="J1346" s="3"/>
      <c r="K1346" s="3"/>
      <c r="L1346" s="3"/>
      <c r="M1346" s="3"/>
      <c r="N1346" s="3"/>
      <c r="O1346" s="3"/>
      <c r="P1346" s="3"/>
      <c r="Q1346" s="3"/>
      <c r="R1346" s="3"/>
      <c r="S1346" s="3"/>
      <c r="T1346" s="3"/>
      <c r="U1346" s="3"/>
      <c r="V1346" s="3"/>
      <c r="W1346" s="3"/>
      <c r="X1346" s="3"/>
      <c r="Y1346" s="3"/>
    </row>
    <row r="1347">
      <c r="A1347" s="5"/>
      <c r="B1347" s="5"/>
      <c r="C1347" s="5"/>
      <c r="D1347" s="5"/>
      <c r="E1347" s="3"/>
      <c r="F1347" s="5"/>
      <c r="G1347" s="5"/>
      <c r="H1347" s="5"/>
      <c r="I1347" s="3"/>
      <c r="J1347" s="3"/>
      <c r="K1347" s="3"/>
      <c r="L1347" s="3"/>
      <c r="M1347" s="3"/>
      <c r="N1347" s="3"/>
      <c r="O1347" s="3"/>
      <c r="P1347" s="3"/>
      <c r="Q1347" s="3"/>
      <c r="R1347" s="3"/>
      <c r="S1347" s="3"/>
      <c r="T1347" s="3"/>
      <c r="U1347" s="3"/>
      <c r="V1347" s="3"/>
      <c r="W1347" s="3"/>
      <c r="X1347" s="3"/>
      <c r="Y1347" s="3"/>
    </row>
    <row r="1348">
      <c r="A1348" s="5"/>
      <c r="B1348" s="5"/>
      <c r="C1348" s="5"/>
      <c r="D1348" s="5"/>
      <c r="E1348" s="3"/>
      <c r="F1348" s="5"/>
      <c r="G1348" s="5"/>
      <c r="H1348" s="5"/>
      <c r="I1348" s="3"/>
      <c r="J1348" s="3"/>
      <c r="K1348" s="3"/>
      <c r="L1348" s="3"/>
      <c r="M1348" s="3"/>
      <c r="N1348" s="3"/>
      <c r="O1348" s="3"/>
      <c r="P1348" s="3"/>
      <c r="Q1348" s="3"/>
      <c r="R1348" s="3"/>
      <c r="S1348" s="3"/>
      <c r="T1348" s="3"/>
      <c r="U1348" s="3"/>
      <c r="V1348" s="3"/>
      <c r="W1348" s="3"/>
      <c r="X1348" s="3"/>
      <c r="Y1348" s="3"/>
    </row>
    <row r="1349">
      <c r="A1349" s="5"/>
      <c r="B1349" s="5"/>
      <c r="C1349" s="5"/>
      <c r="D1349" s="5"/>
      <c r="E1349" s="3"/>
      <c r="F1349" s="5"/>
      <c r="G1349" s="5"/>
      <c r="H1349" s="5"/>
      <c r="I1349" s="3"/>
      <c r="J1349" s="3"/>
      <c r="K1349" s="3"/>
      <c r="L1349" s="3"/>
      <c r="M1349" s="3"/>
      <c r="N1349" s="3"/>
      <c r="O1349" s="3"/>
      <c r="P1349" s="3"/>
      <c r="Q1349" s="3"/>
      <c r="R1349" s="3"/>
      <c r="S1349" s="3"/>
      <c r="T1349" s="3"/>
      <c r="U1349" s="3"/>
      <c r="V1349" s="3"/>
      <c r="W1349" s="3"/>
      <c r="X1349" s="3"/>
      <c r="Y1349" s="3"/>
    </row>
    <row r="1350">
      <c r="A1350" s="5"/>
      <c r="B1350" s="5"/>
      <c r="C1350" s="5"/>
      <c r="D1350" s="5"/>
      <c r="E1350" s="3"/>
      <c r="F1350" s="5"/>
      <c r="G1350" s="5"/>
      <c r="H1350" s="5"/>
      <c r="I1350" s="3"/>
      <c r="J1350" s="3"/>
      <c r="K1350" s="3"/>
      <c r="L1350" s="3"/>
      <c r="M1350" s="3"/>
      <c r="N1350" s="3"/>
      <c r="O1350" s="3"/>
      <c r="P1350" s="3"/>
      <c r="Q1350" s="3"/>
      <c r="R1350" s="3"/>
      <c r="S1350" s="3"/>
      <c r="T1350" s="3"/>
      <c r="U1350" s="3"/>
      <c r="V1350" s="3"/>
      <c r="W1350" s="3"/>
      <c r="X1350" s="3"/>
      <c r="Y1350" s="3"/>
    </row>
    <row r="1351">
      <c r="A1351" s="5"/>
      <c r="B1351" s="5"/>
      <c r="C1351" s="5"/>
      <c r="D1351" s="5"/>
      <c r="E1351" s="3"/>
      <c r="F1351" s="5"/>
      <c r="G1351" s="5"/>
      <c r="H1351" s="5"/>
      <c r="I1351" s="3"/>
      <c r="J1351" s="3"/>
      <c r="K1351" s="3"/>
      <c r="L1351" s="3"/>
      <c r="M1351" s="3"/>
      <c r="N1351" s="3"/>
      <c r="O1351" s="3"/>
      <c r="P1351" s="3"/>
      <c r="Q1351" s="3"/>
      <c r="R1351" s="3"/>
      <c r="S1351" s="3"/>
      <c r="T1351" s="3"/>
      <c r="U1351" s="3"/>
      <c r="V1351" s="3"/>
      <c r="W1351" s="3"/>
      <c r="X1351" s="3"/>
      <c r="Y1351" s="3"/>
    </row>
    <row r="1352">
      <c r="A1352" s="5"/>
      <c r="B1352" s="5"/>
      <c r="C1352" s="5"/>
      <c r="D1352" s="5"/>
      <c r="E1352" s="3"/>
      <c r="F1352" s="5"/>
      <c r="G1352" s="5"/>
      <c r="H1352" s="5"/>
      <c r="I1352" s="3"/>
      <c r="J1352" s="3"/>
      <c r="K1352" s="3"/>
      <c r="L1352" s="3"/>
      <c r="M1352" s="3"/>
      <c r="N1352" s="3"/>
      <c r="O1352" s="3"/>
      <c r="P1352" s="3"/>
      <c r="Q1352" s="3"/>
      <c r="R1352" s="3"/>
      <c r="S1352" s="3"/>
      <c r="T1352" s="3"/>
      <c r="U1352" s="3"/>
      <c r="V1352" s="3"/>
      <c r="W1352" s="3"/>
      <c r="X1352" s="3"/>
      <c r="Y1352" s="3"/>
    </row>
    <row r="1353">
      <c r="A1353" s="5"/>
      <c r="B1353" s="5"/>
      <c r="C1353" s="5"/>
      <c r="D1353" s="5"/>
      <c r="E1353" s="3"/>
      <c r="F1353" s="5"/>
      <c r="G1353" s="5"/>
      <c r="H1353" s="5"/>
      <c r="I1353" s="3"/>
      <c r="J1353" s="3"/>
      <c r="K1353" s="3"/>
      <c r="L1353" s="3"/>
      <c r="M1353" s="3"/>
      <c r="N1353" s="3"/>
      <c r="O1353" s="3"/>
      <c r="P1353" s="3"/>
      <c r="Q1353" s="3"/>
      <c r="R1353" s="3"/>
      <c r="S1353" s="3"/>
      <c r="T1353" s="3"/>
      <c r="U1353" s="3"/>
      <c r="V1353" s="3"/>
      <c r="W1353" s="3"/>
      <c r="X1353" s="3"/>
      <c r="Y1353" s="3"/>
    </row>
    <row r="1354">
      <c r="A1354" s="5"/>
      <c r="B1354" s="5"/>
      <c r="C1354" s="5"/>
      <c r="D1354" s="5"/>
      <c r="E1354" s="3"/>
      <c r="F1354" s="5"/>
      <c r="G1354" s="5"/>
      <c r="H1354" s="5"/>
      <c r="I1354" s="3"/>
      <c r="J1354" s="3"/>
      <c r="K1354" s="3"/>
      <c r="L1354" s="3"/>
      <c r="M1354" s="3"/>
      <c r="N1354" s="3"/>
      <c r="O1354" s="3"/>
      <c r="P1354" s="3"/>
      <c r="Q1354" s="3"/>
      <c r="R1354" s="3"/>
      <c r="S1354" s="3"/>
      <c r="T1354" s="3"/>
      <c r="U1354" s="3"/>
      <c r="V1354" s="3"/>
      <c r="W1354" s="3"/>
      <c r="X1354" s="3"/>
      <c r="Y1354" s="3"/>
    </row>
    <row r="1355">
      <c r="A1355" s="5"/>
      <c r="B1355" s="5"/>
      <c r="C1355" s="5"/>
      <c r="D1355" s="5"/>
      <c r="E1355" s="3"/>
      <c r="F1355" s="5"/>
      <c r="G1355" s="5"/>
      <c r="H1355" s="5"/>
      <c r="I1355" s="3"/>
      <c r="J1355" s="3"/>
      <c r="K1355" s="3"/>
      <c r="L1355" s="3"/>
      <c r="M1355" s="3"/>
      <c r="N1355" s="3"/>
      <c r="O1355" s="3"/>
      <c r="P1355" s="3"/>
      <c r="Q1355" s="3"/>
      <c r="R1355" s="3"/>
      <c r="S1355" s="3"/>
      <c r="T1355" s="3"/>
      <c r="U1355" s="3"/>
      <c r="V1355" s="3"/>
      <c r="W1355" s="3"/>
      <c r="X1355" s="3"/>
      <c r="Y1355" s="3"/>
    </row>
    <row r="1356">
      <c r="A1356" s="5"/>
      <c r="B1356" s="5"/>
      <c r="C1356" s="5"/>
      <c r="D1356" s="5"/>
      <c r="E1356" s="3"/>
      <c r="F1356" s="5"/>
      <c r="G1356" s="5"/>
      <c r="H1356" s="5"/>
      <c r="I1356" s="3"/>
      <c r="J1356" s="3"/>
      <c r="K1356" s="3"/>
      <c r="L1356" s="3"/>
      <c r="M1356" s="3"/>
      <c r="N1356" s="3"/>
      <c r="O1356" s="3"/>
      <c r="P1356" s="3"/>
      <c r="Q1356" s="3"/>
      <c r="R1356" s="3"/>
      <c r="S1356" s="3"/>
      <c r="T1356" s="3"/>
      <c r="U1356" s="3"/>
      <c r="V1356" s="3"/>
      <c r="W1356" s="3"/>
      <c r="X1356" s="3"/>
      <c r="Y1356" s="3"/>
    </row>
    <row r="1357">
      <c r="A1357" s="5"/>
      <c r="B1357" s="5"/>
      <c r="C1357" s="5"/>
      <c r="D1357" s="5"/>
      <c r="E1357" s="3"/>
      <c r="F1357" s="5"/>
      <c r="G1357" s="5"/>
      <c r="H1357" s="5"/>
      <c r="I1357" s="3"/>
      <c r="J1357" s="3"/>
      <c r="K1357" s="3"/>
      <c r="L1357" s="3"/>
      <c r="M1357" s="3"/>
      <c r="N1357" s="3"/>
      <c r="O1357" s="3"/>
      <c r="P1357" s="3"/>
      <c r="Q1357" s="3"/>
      <c r="R1357" s="3"/>
      <c r="S1357" s="3"/>
      <c r="T1357" s="3"/>
      <c r="U1357" s="3"/>
      <c r="V1357" s="3"/>
      <c r="W1357" s="3"/>
      <c r="X1357" s="3"/>
      <c r="Y1357" s="3"/>
    </row>
    <row r="1358">
      <c r="A1358" s="5"/>
      <c r="B1358" s="5"/>
      <c r="C1358" s="5"/>
      <c r="D1358" s="5"/>
      <c r="E1358" s="3"/>
      <c r="F1358" s="5"/>
      <c r="G1358" s="5"/>
      <c r="H1358" s="5"/>
      <c r="I1358" s="3"/>
      <c r="J1358" s="3"/>
      <c r="K1358" s="3"/>
      <c r="L1358" s="3"/>
      <c r="M1358" s="3"/>
      <c r="N1358" s="3"/>
      <c r="O1358" s="3"/>
      <c r="P1358" s="3"/>
      <c r="Q1358" s="3"/>
      <c r="R1358" s="3"/>
      <c r="S1358" s="3"/>
      <c r="T1358" s="3"/>
      <c r="U1358" s="3"/>
      <c r="V1358" s="3"/>
      <c r="W1358" s="3"/>
      <c r="X1358" s="3"/>
      <c r="Y1358" s="3"/>
    </row>
    <row r="1359">
      <c r="A1359" s="5"/>
      <c r="B1359" s="5"/>
      <c r="C1359" s="5"/>
      <c r="D1359" s="5"/>
      <c r="E1359" s="3"/>
      <c r="F1359" s="5"/>
      <c r="G1359" s="5"/>
      <c r="H1359" s="5"/>
      <c r="I1359" s="3"/>
      <c r="J1359" s="3"/>
      <c r="K1359" s="3"/>
      <c r="L1359" s="3"/>
      <c r="M1359" s="3"/>
      <c r="N1359" s="3"/>
      <c r="O1359" s="3"/>
      <c r="P1359" s="3"/>
      <c r="Q1359" s="3"/>
      <c r="R1359" s="3"/>
      <c r="S1359" s="3"/>
      <c r="T1359" s="3"/>
      <c r="U1359" s="3"/>
      <c r="V1359" s="3"/>
      <c r="W1359" s="3"/>
      <c r="X1359" s="3"/>
      <c r="Y1359" s="3"/>
    </row>
    <row r="1360">
      <c r="A1360" s="5"/>
      <c r="B1360" s="5"/>
      <c r="C1360" s="5"/>
      <c r="D1360" s="5"/>
      <c r="E1360" s="3"/>
      <c r="F1360" s="5"/>
      <c r="G1360" s="5"/>
      <c r="H1360" s="5"/>
      <c r="I1360" s="3"/>
      <c r="J1360" s="3"/>
      <c r="K1360" s="3"/>
      <c r="L1360" s="3"/>
      <c r="M1360" s="3"/>
      <c r="N1360" s="3"/>
      <c r="O1360" s="3"/>
      <c r="P1360" s="3"/>
      <c r="Q1360" s="3"/>
      <c r="R1360" s="3"/>
      <c r="S1360" s="3"/>
      <c r="T1360" s="3"/>
      <c r="U1360" s="3"/>
      <c r="V1360" s="3"/>
      <c r="W1360" s="3"/>
      <c r="X1360" s="3"/>
      <c r="Y1360" s="3"/>
    </row>
    <row r="1361">
      <c r="A1361" s="5"/>
      <c r="B1361" s="5"/>
      <c r="C1361" s="5"/>
      <c r="D1361" s="5"/>
      <c r="E1361" s="3"/>
      <c r="F1361" s="5"/>
      <c r="G1361" s="5"/>
      <c r="H1361" s="5"/>
      <c r="I1361" s="3"/>
      <c r="J1361" s="3"/>
      <c r="K1361" s="3"/>
      <c r="L1361" s="3"/>
      <c r="M1361" s="3"/>
      <c r="N1361" s="3"/>
      <c r="O1361" s="3"/>
      <c r="P1361" s="3"/>
      <c r="Q1361" s="3"/>
      <c r="R1361" s="3"/>
      <c r="S1361" s="3"/>
      <c r="T1361" s="3"/>
      <c r="U1361" s="3"/>
      <c r="V1361" s="3"/>
      <c r="W1361" s="3"/>
      <c r="X1361" s="3"/>
      <c r="Y1361" s="3"/>
    </row>
    <row r="1362">
      <c r="A1362" s="5"/>
      <c r="B1362" s="5"/>
      <c r="C1362" s="5"/>
      <c r="D1362" s="5"/>
      <c r="E1362" s="3"/>
      <c r="F1362" s="5"/>
      <c r="G1362" s="5"/>
      <c r="H1362" s="5"/>
      <c r="I1362" s="3"/>
      <c r="J1362" s="3"/>
      <c r="K1362" s="3"/>
      <c r="L1362" s="3"/>
      <c r="M1362" s="3"/>
      <c r="N1362" s="3"/>
      <c r="O1362" s="3"/>
      <c r="P1362" s="3"/>
      <c r="Q1362" s="3"/>
      <c r="R1362" s="3"/>
      <c r="S1362" s="3"/>
      <c r="T1362" s="3"/>
      <c r="U1362" s="3"/>
      <c r="V1362" s="3"/>
      <c r="W1362" s="3"/>
      <c r="X1362" s="3"/>
      <c r="Y1362" s="3"/>
    </row>
    <row r="1363">
      <c r="A1363" s="5"/>
      <c r="B1363" s="5"/>
      <c r="C1363" s="5"/>
      <c r="D1363" s="5"/>
      <c r="E1363" s="3"/>
      <c r="F1363" s="5"/>
      <c r="G1363" s="5"/>
      <c r="H1363" s="5"/>
      <c r="I1363" s="3"/>
      <c r="J1363" s="3"/>
      <c r="K1363" s="3"/>
      <c r="L1363" s="3"/>
      <c r="M1363" s="3"/>
      <c r="N1363" s="3"/>
      <c r="O1363" s="3"/>
      <c r="P1363" s="3"/>
      <c r="Q1363" s="3"/>
      <c r="R1363" s="3"/>
      <c r="S1363" s="3"/>
      <c r="T1363" s="3"/>
      <c r="U1363" s="3"/>
      <c r="V1363" s="3"/>
      <c r="W1363" s="3"/>
      <c r="X1363" s="3"/>
      <c r="Y1363" s="3"/>
    </row>
    <row r="1364">
      <c r="A1364" s="5"/>
      <c r="B1364" s="5"/>
      <c r="C1364" s="5"/>
      <c r="D1364" s="5"/>
      <c r="E1364" s="3"/>
      <c r="F1364" s="5"/>
      <c r="G1364" s="5"/>
      <c r="H1364" s="5"/>
      <c r="I1364" s="3"/>
      <c r="J1364" s="3"/>
      <c r="K1364" s="3"/>
      <c r="L1364" s="3"/>
      <c r="M1364" s="3"/>
      <c r="N1364" s="3"/>
      <c r="O1364" s="3"/>
      <c r="P1364" s="3"/>
      <c r="Q1364" s="3"/>
      <c r="R1364" s="3"/>
      <c r="S1364" s="3"/>
      <c r="T1364" s="3"/>
      <c r="U1364" s="3"/>
      <c r="V1364" s="3"/>
      <c r="W1364" s="3"/>
      <c r="X1364" s="3"/>
      <c r="Y1364" s="3"/>
    </row>
    <row r="1365">
      <c r="A1365" s="5"/>
      <c r="B1365" s="5"/>
      <c r="C1365" s="5"/>
      <c r="D1365" s="5"/>
      <c r="E1365" s="3"/>
      <c r="F1365" s="5"/>
      <c r="G1365" s="5"/>
      <c r="H1365" s="5"/>
      <c r="I1365" s="3"/>
      <c r="J1365" s="3"/>
      <c r="K1365" s="3"/>
      <c r="L1365" s="3"/>
      <c r="M1365" s="3"/>
      <c r="N1365" s="3"/>
      <c r="O1365" s="3"/>
      <c r="P1365" s="3"/>
      <c r="Q1365" s="3"/>
      <c r="R1365" s="3"/>
      <c r="S1365" s="3"/>
      <c r="T1365" s="3"/>
      <c r="U1365" s="3"/>
      <c r="V1365" s="3"/>
      <c r="W1365" s="3"/>
      <c r="X1365" s="3"/>
      <c r="Y1365" s="3"/>
    </row>
    <row r="1366">
      <c r="A1366" s="5"/>
      <c r="B1366" s="5"/>
      <c r="C1366" s="5"/>
      <c r="D1366" s="5"/>
      <c r="E1366" s="3"/>
      <c r="F1366" s="5"/>
      <c r="G1366" s="5"/>
      <c r="H1366" s="5"/>
      <c r="I1366" s="3"/>
      <c r="J1366" s="3"/>
      <c r="K1366" s="3"/>
      <c r="L1366" s="3"/>
      <c r="M1366" s="3"/>
      <c r="N1366" s="3"/>
      <c r="O1366" s="3"/>
      <c r="P1366" s="3"/>
      <c r="Q1366" s="3"/>
      <c r="R1366" s="3"/>
      <c r="S1366" s="3"/>
      <c r="T1366" s="3"/>
      <c r="U1366" s="3"/>
      <c r="V1366" s="3"/>
      <c r="W1366" s="3"/>
      <c r="X1366" s="3"/>
      <c r="Y1366" s="3"/>
    </row>
    <row r="1367">
      <c r="A1367" s="5"/>
      <c r="B1367" s="5"/>
      <c r="C1367" s="5"/>
      <c r="D1367" s="5"/>
      <c r="E1367" s="3"/>
      <c r="F1367" s="5"/>
      <c r="G1367" s="5"/>
      <c r="H1367" s="5"/>
      <c r="I1367" s="3"/>
      <c r="J1367" s="3"/>
      <c r="K1367" s="3"/>
      <c r="L1367" s="3"/>
      <c r="M1367" s="3"/>
      <c r="N1367" s="3"/>
      <c r="O1367" s="3"/>
      <c r="P1367" s="3"/>
      <c r="Q1367" s="3"/>
      <c r="R1367" s="3"/>
      <c r="S1367" s="3"/>
      <c r="T1367" s="3"/>
      <c r="U1367" s="3"/>
      <c r="V1367" s="3"/>
      <c r="W1367" s="3"/>
      <c r="X1367" s="3"/>
      <c r="Y1367" s="3"/>
    </row>
    <row r="1368">
      <c r="A1368" s="5"/>
      <c r="B1368" s="5"/>
      <c r="C1368" s="5"/>
      <c r="D1368" s="5"/>
      <c r="E1368" s="3"/>
      <c r="F1368" s="5"/>
      <c r="G1368" s="5"/>
      <c r="H1368" s="5"/>
      <c r="I1368" s="3"/>
      <c r="J1368" s="3"/>
      <c r="K1368" s="3"/>
      <c r="L1368" s="3"/>
      <c r="M1368" s="3"/>
      <c r="N1368" s="3"/>
      <c r="O1368" s="3"/>
      <c r="P1368" s="3"/>
      <c r="Q1368" s="3"/>
      <c r="R1368" s="3"/>
      <c r="S1368" s="3"/>
      <c r="T1368" s="3"/>
      <c r="U1368" s="3"/>
      <c r="V1368" s="3"/>
      <c r="W1368" s="3"/>
      <c r="X1368" s="3"/>
      <c r="Y1368" s="3"/>
    </row>
    <row r="1369">
      <c r="A1369" s="5"/>
      <c r="B1369" s="5"/>
      <c r="C1369" s="5"/>
      <c r="D1369" s="5"/>
      <c r="E1369" s="3"/>
      <c r="F1369" s="5"/>
      <c r="G1369" s="5"/>
      <c r="H1369" s="5"/>
      <c r="I1369" s="3"/>
      <c r="J1369" s="3"/>
      <c r="K1369" s="3"/>
      <c r="L1369" s="3"/>
      <c r="M1369" s="3"/>
      <c r="N1369" s="3"/>
      <c r="O1369" s="3"/>
      <c r="P1369" s="3"/>
      <c r="Q1369" s="3"/>
      <c r="R1369" s="3"/>
      <c r="S1369" s="3"/>
      <c r="T1369" s="3"/>
      <c r="U1369" s="3"/>
      <c r="V1369" s="3"/>
      <c r="W1369" s="3"/>
      <c r="X1369" s="3"/>
      <c r="Y1369" s="3"/>
    </row>
    <row r="1370">
      <c r="A1370" s="5"/>
      <c r="B1370" s="5"/>
      <c r="C1370" s="5"/>
      <c r="D1370" s="5"/>
      <c r="E1370" s="3"/>
      <c r="F1370" s="5"/>
      <c r="G1370" s="5"/>
      <c r="H1370" s="5"/>
      <c r="I1370" s="3"/>
      <c r="J1370" s="3"/>
      <c r="K1370" s="3"/>
      <c r="L1370" s="3"/>
      <c r="M1370" s="3"/>
      <c r="N1370" s="3"/>
      <c r="O1370" s="3"/>
      <c r="P1370" s="3"/>
      <c r="Q1370" s="3"/>
      <c r="R1370" s="3"/>
      <c r="S1370" s="3"/>
      <c r="T1370" s="3"/>
      <c r="U1370" s="3"/>
      <c r="V1370" s="3"/>
      <c r="W1370" s="3"/>
      <c r="X1370" s="3"/>
      <c r="Y1370" s="3"/>
    </row>
    <row r="1371">
      <c r="A1371" s="5"/>
      <c r="B1371" s="5"/>
      <c r="C1371" s="5"/>
      <c r="D1371" s="5"/>
      <c r="E1371" s="3"/>
      <c r="F1371" s="5"/>
      <c r="G1371" s="5"/>
      <c r="H1371" s="5"/>
      <c r="I1371" s="3"/>
      <c r="J1371" s="3"/>
      <c r="K1371" s="3"/>
      <c r="L1371" s="3"/>
      <c r="M1371" s="3"/>
      <c r="N1371" s="3"/>
      <c r="O1371" s="3"/>
      <c r="P1371" s="3"/>
      <c r="Q1371" s="3"/>
      <c r="R1371" s="3"/>
      <c r="S1371" s="3"/>
      <c r="T1371" s="3"/>
      <c r="U1371" s="3"/>
      <c r="V1371" s="3"/>
      <c r="W1371" s="3"/>
      <c r="X1371" s="3"/>
      <c r="Y1371" s="3"/>
    </row>
    <row r="1372">
      <c r="A1372" s="5"/>
      <c r="B1372" s="5"/>
      <c r="C1372" s="5"/>
      <c r="D1372" s="5"/>
      <c r="E1372" s="3"/>
      <c r="F1372" s="5"/>
      <c r="G1372" s="5"/>
      <c r="H1372" s="5"/>
      <c r="I1372" s="3"/>
      <c r="J1372" s="3"/>
      <c r="K1372" s="3"/>
      <c r="L1372" s="3"/>
      <c r="M1372" s="3"/>
      <c r="N1372" s="3"/>
      <c r="O1372" s="3"/>
      <c r="P1372" s="3"/>
      <c r="Q1372" s="3"/>
      <c r="R1372" s="3"/>
      <c r="S1372" s="3"/>
      <c r="T1372" s="3"/>
      <c r="U1372" s="3"/>
      <c r="V1372" s="3"/>
      <c r="W1372" s="3"/>
      <c r="X1372" s="3"/>
      <c r="Y1372" s="3"/>
    </row>
    <row r="1373">
      <c r="A1373" s="5"/>
      <c r="B1373" s="5"/>
      <c r="C1373" s="5"/>
      <c r="D1373" s="5"/>
      <c r="E1373" s="3"/>
      <c r="F1373" s="5"/>
      <c r="G1373" s="5"/>
      <c r="H1373" s="5"/>
      <c r="I1373" s="3"/>
      <c r="J1373" s="3"/>
      <c r="K1373" s="3"/>
      <c r="L1373" s="3"/>
      <c r="M1373" s="3"/>
      <c r="N1373" s="3"/>
      <c r="O1373" s="3"/>
      <c r="P1373" s="3"/>
      <c r="Q1373" s="3"/>
      <c r="R1373" s="3"/>
      <c r="S1373" s="3"/>
      <c r="T1373" s="3"/>
      <c r="U1373" s="3"/>
      <c r="V1373" s="3"/>
      <c r="W1373" s="3"/>
      <c r="X1373" s="3"/>
      <c r="Y1373" s="3"/>
    </row>
    <row r="1374">
      <c r="A1374" s="5"/>
      <c r="B1374" s="5"/>
      <c r="C1374" s="5"/>
      <c r="D1374" s="5"/>
      <c r="E1374" s="3"/>
      <c r="F1374" s="5"/>
      <c r="G1374" s="5"/>
      <c r="H1374" s="5"/>
      <c r="I1374" s="3"/>
      <c r="J1374" s="3"/>
      <c r="K1374" s="3"/>
      <c r="L1374" s="3"/>
      <c r="M1374" s="3"/>
      <c r="N1374" s="3"/>
      <c r="O1374" s="3"/>
      <c r="P1374" s="3"/>
      <c r="Q1374" s="3"/>
      <c r="R1374" s="3"/>
      <c r="S1374" s="3"/>
      <c r="T1374" s="3"/>
      <c r="U1374" s="3"/>
      <c r="V1374" s="3"/>
      <c r="W1374" s="3"/>
      <c r="X1374" s="3"/>
      <c r="Y1374" s="3"/>
    </row>
    <row r="1375">
      <c r="A1375" s="5"/>
      <c r="B1375" s="5"/>
      <c r="C1375" s="5"/>
      <c r="D1375" s="5"/>
      <c r="E1375" s="3"/>
      <c r="F1375" s="5"/>
      <c r="G1375" s="5"/>
      <c r="H1375" s="5"/>
      <c r="I1375" s="3"/>
      <c r="J1375" s="3"/>
      <c r="K1375" s="3"/>
      <c r="L1375" s="3"/>
      <c r="M1375" s="3"/>
      <c r="N1375" s="3"/>
      <c r="O1375" s="3"/>
      <c r="P1375" s="3"/>
      <c r="Q1375" s="3"/>
      <c r="R1375" s="3"/>
      <c r="S1375" s="3"/>
      <c r="T1375" s="3"/>
      <c r="U1375" s="3"/>
      <c r="V1375" s="3"/>
      <c r="W1375" s="3"/>
      <c r="X1375" s="3"/>
      <c r="Y1375" s="3"/>
    </row>
    <row r="1376">
      <c r="A1376" s="5"/>
      <c r="B1376" s="5"/>
      <c r="C1376" s="5"/>
      <c r="D1376" s="5"/>
      <c r="E1376" s="3"/>
      <c r="F1376" s="5"/>
      <c r="G1376" s="5"/>
      <c r="H1376" s="5"/>
      <c r="I1376" s="3"/>
      <c r="J1376" s="3"/>
      <c r="K1376" s="3"/>
      <c r="L1376" s="3"/>
      <c r="M1376" s="3"/>
      <c r="N1376" s="3"/>
      <c r="O1376" s="3"/>
      <c r="P1376" s="3"/>
      <c r="Q1376" s="3"/>
      <c r="R1376" s="3"/>
      <c r="S1376" s="3"/>
      <c r="T1376" s="3"/>
      <c r="U1376" s="3"/>
      <c r="V1376" s="3"/>
      <c r="W1376" s="3"/>
      <c r="X1376" s="3"/>
      <c r="Y1376" s="3"/>
    </row>
    <row r="1377">
      <c r="A1377" s="5"/>
      <c r="B1377" s="5"/>
      <c r="C1377" s="5"/>
      <c r="D1377" s="5"/>
      <c r="E1377" s="3"/>
      <c r="F1377" s="5"/>
      <c r="G1377" s="5"/>
      <c r="H1377" s="5"/>
      <c r="I1377" s="3"/>
      <c r="J1377" s="3"/>
      <c r="K1377" s="3"/>
      <c r="L1377" s="3"/>
      <c r="M1377" s="3"/>
      <c r="N1377" s="3"/>
      <c r="O1377" s="3"/>
      <c r="P1377" s="3"/>
      <c r="Q1377" s="3"/>
      <c r="R1377" s="3"/>
      <c r="S1377" s="3"/>
      <c r="T1377" s="3"/>
      <c r="U1377" s="3"/>
      <c r="V1377" s="3"/>
      <c r="W1377" s="3"/>
      <c r="X1377" s="3"/>
      <c r="Y1377" s="3"/>
    </row>
    <row r="1378">
      <c r="A1378" s="5"/>
      <c r="B1378" s="5"/>
      <c r="C1378" s="5"/>
      <c r="D1378" s="5"/>
      <c r="E1378" s="3"/>
      <c r="F1378" s="5"/>
      <c r="G1378" s="5"/>
      <c r="H1378" s="5"/>
      <c r="I1378" s="3"/>
      <c r="J1378" s="3"/>
      <c r="K1378" s="3"/>
      <c r="L1378" s="3"/>
      <c r="M1378" s="3"/>
      <c r="N1378" s="3"/>
      <c r="O1378" s="3"/>
      <c r="P1378" s="3"/>
      <c r="Q1378" s="3"/>
      <c r="R1378" s="3"/>
      <c r="S1378" s="3"/>
      <c r="T1378" s="3"/>
      <c r="U1378" s="3"/>
      <c r="V1378" s="3"/>
      <c r="W1378" s="3"/>
      <c r="X1378" s="3"/>
      <c r="Y1378" s="3"/>
    </row>
    <row r="1379">
      <c r="A1379" s="5"/>
      <c r="B1379" s="5"/>
      <c r="C1379" s="5"/>
      <c r="D1379" s="5"/>
      <c r="E1379" s="3"/>
      <c r="F1379" s="5"/>
      <c r="G1379" s="5"/>
      <c r="H1379" s="5"/>
      <c r="I1379" s="3"/>
      <c r="J1379" s="3"/>
      <c r="K1379" s="3"/>
      <c r="L1379" s="3"/>
      <c r="M1379" s="3"/>
      <c r="N1379" s="3"/>
      <c r="O1379" s="3"/>
      <c r="P1379" s="3"/>
      <c r="Q1379" s="3"/>
      <c r="R1379" s="3"/>
      <c r="S1379" s="3"/>
      <c r="T1379" s="3"/>
      <c r="U1379" s="3"/>
      <c r="V1379" s="3"/>
      <c r="W1379" s="3"/>
      <c r="X1379" s="3"/>
      <c r="Y1379" s="3"/>
    </row>
    <row r="1380">
      <c r="A1380" s="5"/>
      <c r="B1380" s="5"/>
      <c r="C1380" s="5"/>
      <c r="D1380" s="5"/>
      <c r="E1380" s="3"/>
      <c r="F1380" s="5"/>
      <c r="G1380" s="5"/>
      <c r="H1380" s="5"/>
      <c r="I1380" s="3"/>
      <c r="J1380" s="3"/>
      <c r="K1380" s="3"/>
      <c r="L1380" s="3"/>
      <c r="M1380" s="3"/>
      <c r="N1380" s="3"/>
      <c r="O1380" s="3"/>
      <c r="P1380" s="3"/>
      <c r="Q1380" s="3"/>
      <c r="R1380" s="3"/>
      <c r="S1380" s="3"/>
      <c r="T1380" s="3"/>
      <c r="U1380" s="3"/>
      <c r="V1380" s="3"/>
      <c r="W1380" s="3"/>
      <c r="X1380" s="3"/>
      <c r="Y1380" s="3"/>
    </row>
    <row r="1381">
      <c r="A1381" s="5"/>
      <c r="B1381" s="5"/>
      <c r="C1381" s="5"/>
      <c r="D1381" s="5"/>
      <c r="E1381" s="3"/>
      <c r="F1381" s="5"/>
      <c r="G1381" s="5"/>
      <c r="H1381" s="5"/>
      <c r="I1381" s="3"/>
      <c r="J1381" s="3"/>
      <c r="K1381" s="3"/>
      <c r="L1381" s="3"/>
      <c r="M1381" s="3"/>
      <c r="N1381" s="3"/>
      <c r="O1381" s="3"/>
      <c r="P1381" s="3"/>
      <c r="Q1381" s="3"/>
      <c r="R1381" s="3"/>
      <c r="S1381" s="3"/>
      <c r="T1381" s="3"/>
      <c r="U1381" s="3"/>
      <c r="V1381" s="3"/>
      <c r="W1381" s="3"/>
      <c r="X1381" s="3"/>
      <c r="Y1381" s="3"/>
    </row>
    <row r="1382">
      <c r="A1382" s="5"/>
      <c r="B1382" s="5"/>
      <c r="C1382" s="5"/>
      <c r="D1382" s="5"/>
      <c r="E1382" s="3"/>
      <c r="F1382" s="5"/>
      <c r="G1382" s="5"/>
      <c r="H1382" s="5"/>
      <c r="I1382" s="3"/>
      <c r="J1382" s="3"/>
      <c r="K1382" s="3"/>
      <c r="L1382" s="3"/>
      <c r="M1382" s="3"/>
      <c r="N1382" s="3"/>
      <c r="O1382" s="3"/>
      <c r="P1382" s="3"/>
      <c r="Q1382" s="3"/>
      <c r="R1382" s="3"/>
      <c r="S1382" s="3"/>
      <c r="T1382" s="3"/>
      <c r="U1382" s="3"/>
      <c r="V1382" s="3"/>
      <c r="W1382" s="3"/>
      <c r="X1382" s="3"/>
      <c r="Y1382" s="3"/>
    </row>
    <row r="1383">
      <c r="A1383" s="5"/>
      <c r="B1383" s="5"/>
      <c r="C1383" s="5"/>
      <c r="D1383" s="5"/>
      <c r="E1383" s="3"/>
      <c r="F1383" s="5"/>
      <c r="G1383" s="5"/>
      <c r="H1383" s="5"/>
      <c r="I1383" s="3"/>
      <c r="J1383" s="3"/>
      <c r="K1383" s="3"/>
      <c r="L1383" s="3"/>
      <c r="M1383" s="3"/>
      <c r="N1383" s="3"/>
      <c r="O1383" s="3"/>
      <c r="P1383" s="3"/>
      <c r="Q1383" s="3"/>
      <c r="R1383" s="3"/>
      <c r="S1383" s="3"/>
      <c r="T1383" s="3"/>
      <c r="U1383" s="3"/>
      <c r="V1383" s="3"/>
      <c r="W1383" s="3"/>
      <c r="X1383" s="3"/>
      <c r="Y1383" s="3"/>
    </row>
    <row r="1384">
      <c r="A1384" s="5"/>
      <c r="B1384" s="5"/>
      <c r="C1384" s="5"/>
      <c r="D1384" s="5"/>
      <c r="E1384" s="3"/>
      <c r="F1384" s="5"/>
      <c r="G1384" s="5"/>
      <c r="H1384" s="5"/>
      <c r="I1384" s="3"/>
      <c r="J1384" s="3"/>
      <c r="K1384" s="3"/>
      <c r="L1384" s="3"/>
      <c r="M1384" s="3"/>
      <c r="N1384" s="3"/>
      <c r="O1384" s="3"/>
      <c r="P1384" s="3"/>
      <c r="Q1384" s="3"/>
      <c r="R1384" s="3"/>
      <c r="S1384" s="3"/>
      <c r="T1384" s="3"/>
      <c r="U1384" s="3"/>
      <c r="V1384" s="3"/>
      <c r="W1384" s="3"/>
      <c r="X1384" s="3"/>
      <c r="Y1384" s="3"/>
    </row>
    <row r="1385">
      <c r="A1385" s="5"/>
      <c r="B1385" s="5"/>
      <c r="C1385" s="5"/>
      <c r="D1385" s="5"/>
      <c r="E1385" s="3"/>
      <c r="F1385" s="5"/>
      <c r="G1385" s="5"/>
      <c r="H1385" s="5"/>
      <c r="I1385" s="3"/>
      <c r="J1385" s="3"/>
      <c r="K1385" s="3"/>
      <c r="L1385" s="3"/>
      <c r="M1385" s="3"/>
      <c r="N1385" s="3"/>
      <c r="O1385" s="3"/>
      <c r="P1385" s="3"/>
      <c r="Q1385" s="3"/>
      <c r="R1385" s="3"/>
      <c r="S1385" s="3"/>
      <c r="T1385" s="3"/>
      <c r="U1385" s="3"/>
      <c r="V1385" s="3"/>
      <c r="W1385" s="3"/>
      <c r="X1385" s="3"/>
      <c r="Y1385" s="3"/>
    </row>
    <row r="1386">
      <c r="A1386" s="5"/>
      <c r="B1386" s="5"/>
      <c r="C1386" s="5"/>
      <c r="D1386" s="5"/>
      <c r="E1386" s="3"/>
      <c r="F1386" s="5"/>
      <c r="G1386" s="5"/>
      <c r="H1386" s="5"/>
      <c r="I1386" s="3"/>
      <c r="J1386" s="3"/>
      <c r="K1386" s="3"/>
      <c r="L1386" s="3"/>
      <c r="M1386" s="3"/>
      <c r="N1386" s="3"/>
      <c r="O1386" s="3"/>
      <c r="P1386" s="3"/>
      <c r="Q1386" s="3"/>
      <c r="R1386" s="3"/>
      <c r="S1386" s="3"/>
      <c r="T1386" s="3"/>
      <c r="U1386" s="3"/>
      <c r="V1386" s="3"/>
      <c r="W1386" s="3"/>
      <c r="X1386" s="3"/>
      <c r="Y1386" s="3"/>
    </row>
    <row r="1387">
      <c r="A1387" s="5"/>
      <c r="B1387" s="5"/>
      <c r="C1387" s="5"/>
      <c r="D1387" s="5"/>
      <c r="E1387" s="3"/>
      <c r="F1387" s="5"/>
      <c r="G1387" s="5"/>
      <c r="H1387" s="5"/>
      <c r="I1387" s="3"/>
      <c r="J1387" s="3"/>
      <c r="K1387" s="3"/>
      <c r="L1387" s="3"/>
      <c r="M1387" s="3"/>
      <c r="N1387" s="3"/>
      <c r="O1387" s="3"/>
      <c r="P1387" s="3"/>
      <c r="Q1387" s="3"/>
      <c r="R1387" s="3"/>
      <c r="S1387" s="3"/>
      <c r="T1387" s="3"/>
      <c r="U1387" s="3"/>
      <c r="V1387" s="3"/>
      <c r="W1387" s="3"/>
      <c r="X1387" s="3"/>
      <c r="Y1387" s="3"/>
    </row>
    <row r="1388">
      <c r="A1388" s="5"/>
      <c r="B1388" s="5"/>
      <c r="C1388" s="5"/>
      <c r="D1388" s="5"/>
      <c r="E1388" s="3"/>
      <c r="F1388" s="5"/>
      <c r="G1388" s="5"/>
      <c r="H1388" s="5"/>
      <c r="I1388" s="3"/>
      <c r="J1388" s="3"/>
      <c r="K1388" s="3"/>
      <c r="L1388" s="3"/>
      <c r="M1388" s="3"/>
      <c r="N1388" s="3"/>
      <c r="O1388" s="3"/>
      <c r="P1388" s="3"/>
      <c r="Q1388" s="3"/>
      <c r="R1388" s="3"/>
      <c r="S1388" s="3"/>
      <c r="T1388" s="3"/>
      <c r="U1388" s="3"/>
      <c r="V1388" s="3"/>
      <c r="W1388" s="3"/>
      <c r="X1388" s="3"/>
      <c r="Y1388" s="3"/>
    </row>
    <row r="1389">
      <c r="A1389" s="5"/>
      <c r="B1389" s="5"/>
      <c r="C1389" s="5"/>
      <c r="D1389" s="5"/>
      <c r="E1389" s="3"/>
      <c r="F1389" s="5"/>
      <c r="G1389" s="5"/>
      <c r="H1389" s="5"/>
      <c r="I1389" s="3"/>
      <c r="J1389" s="3"/>
      <c r="K1389" s="3"/>
      <c r="L1389" s="3"/>
      <c r="M1389" s="3"/>
      <c r="N1389" s="3"/>
      <c r="O1389" s="3"/>
      <c r="P1389" s="3"/>
      <c r="Q1389" s="3"/>
      <c r="R1389" s="3"/>
      <c r="S1389" s="3"/>
      <c r="T1389" s="3"/>
      <c r="U1389" s="3"/>
      <c r="V1389" s="3"/>
      <c r="W1389" s="3"/>
      <c r="X1389" s="3"/>
      <c r="Y1389" s="3"/>
    </row>
    <row r="1390">
      <c r="A1390" s="5"/>
      <c r="B1390" s="5"/>
      <c r="C1390" s="5"/>
      <c r="D1390" s="5"/>
      <c r="E1390" s="3"/>
      <c r="F1390" s="5"/>
      <c r="G1390" s="5"/>
      <c r="H1390" s="5"/>
      <c r="I1390" s="3"/>
      <c r="J1390" s="3"/>
      <c r="K1390" s="3"/>
      <c r="L1390" s="3"/>
      <c r="M1390" s="3"/>
      <c r="N1390" s="3"/>
      <c r="O1390" s="3"/>
      <c r="P1390" s="3"/>
      <c r="Q1390" s="3"/>
      <c r="R1390" s="3"/>
      <c r="S1390" s="3"/>
      <c r="T1390" s="3"/>
      <c r="U1390" s="3"/>
      <c r="V1390" s="3"/>
      <c r="W1390" s="3"/>
      <c r="X1390" s="3"/>
      <c r="Y1390" s="3"/>
    </row>
    <row r="1391">
      <c r="A1391" s="5"/>
      <c r="B1391" s="5"/>
      <c r="C1391" s="5"/>
      <c r="D1391" s="5"/>
      <c r="E1391" s="3"/>
      <c r="F1391" s="5"/>
      <c r="G1391" s="5"/>
      <c r="H1391" s="5"/>
      <c r="I1391" s="3"/>
      <c r="J1391" s="3"/>
      <c r="K1391" s="3"/>
      <c r="L1391" s="3"/>
      <c r="M1391" s="3"/>
      <c r="N1391" s="3"/>
      <c r="O1391" s="3"/>
      <c r="P1391" s="3"/>
      <c r="Q1391" s="3"/>
      <c r="R1391" s="3"/>
      <c r="S1391" s="3"/>
      <c r="T1391" s="3"/>
      <c r="U1391" s="3"/>
      <c r="V1391" s="3"/>
      <c r="W1391" s="3"/>
      <c r="X1391" s="3"/>
      <c r="Y1391" s="3"/>
    </row>
    <row r="1392">
      <c r="A1392" s="5"/>
      <c r="B1392" s="5"/>
      <c r="C1392" s="5"/>
      <c r="D1392" s="5"/>
      <c r="E1392" s="3"/>
      <c r="F1392" s="5"/>
      <c r="G1392" s="5"/>
      <c r="H1392" s="5"/>
      <c r="I1392" s="3"/>
      <c r="J1392" s="3"/>
      <c r="K1392" s="3"/>
      <c r="L1392" s="3"/>
      <c r="M1392" s="3"/>
      <c r="N1392" s="3"/>
      <c r="O1392" s="3"/>
      <c r="P1392" s="3"/>
      <c r="Q1392" s="3"/>
      <c r="R1392" s="3"/>
      <c r="S1392" s="3"/>
      <c r="T1392" s="3"/>
      <c r="U1392" s="3"/>
      <c r="V1392" s="3"/>
      <c r="W1392" s="3"/>
      <c r="X1392" s="3"/>
      <c r="Y1392" s="3"/>
    </row>
    <row r="1393">
      <c r="A1393" s="5"/>
      <c r="B1393" s="5"/>
      <c r="C1393" s="5"/>
      <c r="D1393" s="5"/>
      <c r="E1393" s="3"/>
      <c r="F1393" s="5"/>
      <c r="G1393" s="5"/>
      <c r="H1393" s="5"/>
      <c r="I1393" s="3"/>
      <c r="J1393" s="3"/>
      <c r="K1393" s="3"/>
      <c r="L1393" s="3"/>
      <c r="M1393" s="3"/>
      <c r="N1393" s="3"/>
      <c r="O1393" s="3"/>
      <c r="P1393" s="3"/>
      <c r="Q1393" s="3"/>
      <c r="R1393" s="3"/>
      <c r="S1393" s="3"/>
      <c r="T1393" s="3"/>
      <c r="U1393" s="3"/>
      <c r="V1393" s="3"/>
      <c r="W1393" s="3"/>
      <c r="X1393" s="3"/>
      <c r="Y1393" s="3"/>
    </row>
    <row r="1394">
      <c r="A1394" s="5"/>
      <c r="B1394" s="5"/>
      <c r="C1394" s="5"/>
      <c r="D1394" s="5"/>
      <c r="E1394" s="3"/>
      <c r="F1394" s="5"/>
      <c r="G1394" s="5"/>
      <c r="H1394" s="5"/>
      <c r="I1394" s="3"/>
      <c r="J1394" s="3"/>
      <c r="K1394" s="3"/>
      <c r="L1394" s="3"/>
      <c r="M1394" s="3"/>
      <c r="N1394" s="3"/>
      <c r="O1394" s="3"/>
      <c r="P1394" s="3"/>
      <c r="Q1394" s="3"/>
      <c r="R1394" s="3"/>
      <c r="S1394" s="3"/>
      <c r="T1394" s="3"/>
      <c r="U1394" s="3"/>
      <c r="V1394" s="3"/>
      <c r="W1394" s="3"/>
      <c r="X1394" s="3"/>
      <c r="Y1394" s="3"/>
    </row>
    <row r="1395">
      <c r="A1395" s="5"/>
      <c r="B1395" s="5"/>
      <c r="C1395" s="5"/>
      <c r="D1395" s="5"/>
      <c r="E1395" s="3"/>
      <c r="F1395" s="5"/>
      <c r="G1395" s="5"/>
      <c r="H1395" s="5"/>
      <c r="I1395" s="3"/>
      <c r="J1395" s="3"/>
      <c r="K1395" s="3"/>
      <c r="L1395" s="3"/>
      <c r="M1395" s="3"/>
      <c r="N1395" s="3"/>
      <c r="O1395" s="3"/>
      <c r="P1395" s="3"/>
      <c r="Q1395" s="3"/>
      <c r="R1395" s="3"/>
      <c r="S1395" s="3"/>
      <c r="T1395" s="3"/>
      <c r="U1395" s="3"/>
      <c r="V1395" s="3"/>
      <c r="W1395" s="3"/>
      <c r="X1395" s="3"/>
      <c r="Y1395" s="3"/>
    </row>
    <row r="1396">
      <c r="A1396" s="5"/>
      <c r="B1396" s="5"/>
      <c r="C1396" s="5"/>
      <c r="D1396" s="5"/>
      <c r="E1396" s="3"/>
      <c r="F1396" s="5"/>
      <c r="G1396" s="5"/>
      <c r="H1396" s="5"/>
      <c r="I1396" s="3"/>
      <c r="J1396" s="3"/>
      <c r="K1396" s="3"/>
      <c r="L1396" s="3"/>
      <c r="M1396" s="3"/>
      <c r="N1396" s="3"/>
      <c r="O1396" s="3"/>
      <c r="P1396" s="3"/>
      <c r="Q1396" s="3"/>
      <c r="R1396" s="3"/>
      <c r="S1396" s="3"/>
      <c r="T1396" s="3"/>
      <c r="U1396" s="3"/>
      <c r="V1396" s="3"/>
      <c r="W1396" s="3"/>
      <c r="X1396" s="3"/>
      <c r="Y1396" s="3"/>
    </row>
    <row r="1397">
      <c r="A1397" s="5"/>
      <c r="B1397" s="5"/>
      <c r="C1397" s="5"/>
      <c r="D1397" s="5"/>
      <c r="E1397" s="3"/>
      <c r="F1397" s="5"/>
      <c r="G1397" s="5"/>
      <c r="H1397" s="5"/>
      <c r="I1397" s="3"/>
      <c r="J1397" s="3"/>
      <c r="K1397" s="3"/>
      <c r="L1397" s="3"/>
      <c r="M1397" s="3"/>
      <c r="N1397" s="3"/>
      <c r="O1397" s="3"/>
      <c r="P1397" s="3"/>
      <c r="Q1397" s="3"/>
      <c r="R1397" s="3"/>
      <c r="S1397" s="3"/>
      <c r="T1397" s="3"/>
      <c r="U1397" s="3"/>
      <c r="V1397" s="3"/>
      <c r="W1397" s="3"/>
      <c r="X1397" s="3"/>
      <c r="Y1397" s="3"/>
    </row>
    <row r="1398">
      <c r="A1398" s="5"/>
      <c r="B1398" s="5"/>
      <c r="C1398" s="5"/>
      <c r="D1398" s="5"/>
      <c r="E1398" s="3"/>
      <c r="F1398" s="5"/>
      <c r="G1398" s="5"/>
      <c r="H1398" s="5"/>
      <c r="I1398" s="3"/>
      <c r="J1398" s="3"/>
      <c r="K1398" s="3"/>
      <c r="L1398" s="3"/>
      <c r="M1398" s="3"/>
      <c r="N1398" s="3"/>
      <c r="O1398" s="3"/>
      <c r="P1398" s="3"/>
      <c r="Q1398" s="3"/>
      <c r="R1398" s="3"/>
      <c r="S1398" s="3"/>
      <c r="T1398" s="3"/>
      <c r="U1398" s="3"/>
      <c r="V1398" s="3"/>
      <c r="W1398" s="3"/>
      <c r="X1398" s="3"/>
      <c r="Y1398" s="3"/>
    </row>
    <row r="1399">
      <c r="A1399" s="5"/>
      <c r="B1399" s="5"/>
      <c r="C1399" s="5"/>
      <c r="D1399" s="5"/>
      <c r="E1399" s="3"/>
      <c r="F1399" s="5"/>
      <c r="G1399" s="5"/>
      <c r="H1399" s="5"/>
      <c r="I1399" s="3"/>
      <c r="J1399" s="3"/>
      <c r="K1399" s="3"/>
      <c r="L1399" s="3"/>
      <c r="M1399" s="3"/>
      <c r="N1399" s="3"/>
      <c r="O1399" s="3"/>
      <c r="P1399" s="3"/>
      <c r="Q1399" s="3"/>
      <c r="R1399" s="3"/>
      <c r="S1399" s="3"/>
      <c r="T1399" s="3"/>
      <c r="U1399" s="3"/>
      <c r="V1399" s="3"/>
      <c r="W1399" s="3"/>
      <c r="X1399" s="3"/>
      <c r="Y1399" s="3"/>
    </row>
    <row r="1400">
      <c r="A1400" s="5"/>
      <c r="B1400" s="5"/>
      <c r="C1400" s="5"/>
      <c r="D1400" s="5"/>
      <c r="E1400" s="3"/>
      <c r="F1400" s="5"/>
      <c r="G1400" s="5"/>
      <c r="H1400" s="5"/>
      <c r="I1400" s="3"/>
      <c r="J1400" s="3"/>
      <c r="K1400" s="3"/>
      <c r="L1400" s="3"/>
      <c r="M1400" s="3"/>
      <c r="N1400" s="3"/>
      <c r="O1400" s="3"/>
      <c r="P1400" s="3"/>
      <c r="Q1400" s="3"/>
      <c r="R1400" s="3"/>
      <c r="S1400" s="3"/>
      <c r="T1400" s="3"/>
      <c r="U1400" s="3"/>
      <c r="V1400" s="3"/>
      <c r="W1400" s="3"/>
      <c r="X1400" s="3"/>
      <c r="Y1400" s="3"/>
    </row>
    <row r="1401">
      <c r="A1401" s="5"/>
      <c r="B1401" s="5"/>
      <c r="C1401" s="5"/>
      <c r="D1401" s="5"/>
      <c r="E1401" s="3"/>
      <c r="F1401" s="5"/>
      <c r="G1401" s="5"/>
      <c r="H1401" s="5"/>
      <c r="I1401" s="3"/>
      <c r="J1401" s="3"/>
      <c r="K1401" s="3"/>
      <c r="L1401" s="3"/>
      <c r="M1401" s="3"/>
      <c r="N1401" s="3"/>
      <c r="O1401" s="3"/>
      <c r="P1401" s="3"/>
      <c r="Q1401" s="3"/>
      <c r="R1401" s="3"/>
      <c r="S1401" s="3"/>
      <c r="T1401" s="3"/>
      <c r="U1401" s="3"/>
      <c r="V1401" s="3"/>
      <c r="W1401" s="3"/>
      <c r="X1401" s="3"/>
      <c r="Y1401" s="3"/>
    </row>
    <row r="1402">
      <c r="A1402" s="5"/>
      <c r="B1402" s="5"/>
      <c r="C1402" s="5"/>
      <c r="D1402" s="5"/>
      <c r="E1402" s="3"/>
      <c r="F1402" s="5"/>
      <c r="G1402" s="5"/>
      <c r="H1402" s="5"/>
      <c r="I1402" s="3"/>
      <c r="J1402" s="3"/>
      <c r="K1402" s="3"/>
      <c r="L1402" s="3"/>
      <c r="M1402" s="3"/>
      <c r="N1402" s="3"/>
      <c r="O1402" s="3"/>
      <c r="P1402" s="3"/>
      <c r="Q1402" s="3"/>
      <c r="R1402" s="3"/>
      <c r="S1402" s="3"/>
      <c r="T1402" s="3"/>
      <c r="U1402" s="3"/>
      <c r="V1402" s="3"/>
      <c r="W1402" s="3"/>
      <c r="X1402" s="3"/>
      <c r="Y1402" s="3"/>
    </row>
    <row r="1403">
      <c r="A1403" s="5"/>
      <c r="B1403" s="5"/>
      <c r="C1403" s="5"/>
      <c r="D1403" s="5"/>
      <c r="E1403" s="3"/>
      <c r="F1403" s="5"/>
      <c r="G1403" s="5"/>
      <c r="H1403" s="5"/>
      <c r="I1403" s="3"/>
      <c r="J1403" s="3"/>
      <c r="K1403" s="3"/>
      <c r="L1403" s="3"/>
      <c r="M1403" s="3"/>
      <c r="N1403" s="3"/>
      <c r="O1403" s="3"/>
      <c r="P1403" s="3"/>
      <c r="Q1403" s="3"/>
      <c r="R1403" s="3"/>
      <c r="S1403" s="3"/>
      <c r="T1403" s="3"/>
      <c r="U1403" s="3"/>
      <c r="V1403" s="3"/>
      <c r="W1403" s="3"/>
      <c r="X1403" s="3"/>
      <c r="Y1403" s="3"/>
    </row>
    <row r="1404">
      <c r="A1404" s="5"/>
      <c r="B1404" s="5"/>
      <c r="C1404" s="5"/>
      <c r="D1404" s="5"/>
      <c r="E1404" s="3"/>
      <c r="F1404" s="5"/>
      <c r="G1404" s="5"/>
      <c r="H1404" s="5"/>
      <c r="I1404" s="3"/>
      <c r="J1404" s="3"/>
      <c r="K1404" s="3"/>
      <c r="L1404" s="3"/>
      <c r="M1404" s="3"/>
      <c r="N1404" s="3"/>
      <c r="O1404" s="3"/>
      <c r="P1404" s="3"/>
      <c r="Q1404" s="3"/>
      <c r="R1404" s="3"/>
      <c r="S1404" s="3"/>
      <c r="T1404" s="3"/>
      <c r="U1404" s="3"/>
      <c r="V1404" s="3"/>
      <c r="W1404" s="3"/>
      <c r="X1404" s="3"/>
      <c r="Y1404" s="3"/>
    </row>
    <row r="1405">
      <c r="A1405" s="5"/>
      <c r="B1405" s="5"/>
      <c r="C1405" s="5"/>
      <c r="D1405" s="5"/>
      <c r="E1405" s="3"/>
      <c r="F1405" s="5"/>
      <c r="G1405" s="5"/>
      <c r="H1405" s="5"/>
      <c r="I1405" s="3"/>
      <c r="J1405" s="3"/>
      <c r="K1405" s="3"/>
      <c r="L1405" s="3"/>
      <c r="M1405" s="3"/>
      <c r="N1405" s="3"/>
      <c r="O1405" s="3"/>
      <c r="P1405" s="3"/>
      <c r="Q1405" s="3"/>
      <c r="R1405" s="3"/>
      <c r="S1405" s="3"/>
      <c r="T1405" s="3"/>
      <c r="U1405" s="3"/>
      <c r="V1405" s="3"/>
      <c r="W1405" s="3"/>
      <c r="X1405" s="3"/>
      <c r="Y1405" s="3"/>
    </row>
    <row r="1406">
      <c r="A1406" s="5"/>
      <c r="B1406" s="5"/>
      <c r="C1406" s="5"/>
      <c r="D1406" s="5"/>
      <c r="E1406" s="3"/>
      <c r="F1406" s="5"/>
      <c r="G1406" s="5"/>
      <c r="H1406" s="5"/>
      <c r="I1406" s="3"/>
      <c r="J1406" s="3"/>
      <c r="K1406" s="3"/>
      <c r="L1406" s="3"/>
      <c r="M1406" s="3"/>
      <c r="N1406" s="3"/>
      <c r="O1406" s="3"/>
      <c r="P1406" s="3"/>
      <c r="Q1406" s="3"/>
      <c r="R1406" s="3"/>
      <c r="S1406" s="3"/>
      <c r="T1406" s="3"/>
      <c r="U1406" s="3"/>
      <c r="V1406" s="3"/>
      <c r="W1406" s="3"/>
      <c r="X1406" s="3"/>
      <c r="Y1406" s="3"/>
    </row>
    <row r="1407">
      <c r="A1407" s="5"/>
      <c r="B1407" s="5"/>
      <c r="C1407" s="5"/>
      <c r="D1407" s="5"/>
      <c r="E1407" s="3"/>
      <c r="F1407" s="5"/>
      <c r="G1407" s="5"/>
      <c r="H1407" s="5"/>
      <c r="I1407" s="3"/>
      <c r="J1407" s="3"/>
      <c r="K1407" s="3"/>
      <c r="L1407" s="3"/>
      <c r="M1407" s="3"/>
      <c r="N1407" s="3"/>
      <c r="O1407" s="3"/>
      <c r="P1407" s="3"/>
      <c r="Q1407" s="3"/>
      <c r="R1407" s="3"/>
      <c r="S1407" s="3"/>
      <c r="T1407" s="3"/>
      <c r="U1407" s="3"/>
      <c r="V1407" s="3"/>
      <c r="W1407" s="3"/>
      <c r="X1407" s="3"/>
      <c r="Y1407" s="3"/>
    </row>
    <row r="1408">
      <c r="A1408" s="5"/>
      <c r="B1408" s="5"/>
      <c r="C1408" s="5"/>
      <c r="D1408" s="5"/>
      <c r="E1408" s="3"/>
      <c r="F1408" s="5"/>
      <c r="G1408" s="5"/>
      <c r="H1408" s="5"/>
      <c r="I1408" s="3"/>
      <c r="J1408" s="3"/>
      <c r="K1408" s="3"/>
      <c r="L1408" s="3"/>
      <c r="M1408" s="3"/>
      <c r="N1408" s="3"/>
      <c r="O1408" s="3"/>
      <c r="P1408" s="3"/>
      <c r="Q1408" s="3"/>
      <c r="R1408" s="3"/>
      <c r="S1408" s="3"/>
      <c r="T1408" s="3"/>
      <c r="U1408" s="3"/>
      <c r="V1408" s="3"/>
      <c r="W1408" s="3"/>
      <c r="X1408" s="3"/>
      <c r="Y1408" s="3"/>
    </row>
    <row r="1409">
      <c r="A1409" s="5"/>
      <c r="B1409" s="5"/>
      <c r="C1409" s="5"/>
      <c r="D1409" s="5"/>
      <c r="E1409" s="3"/>
      <c r="F1409" s="5"/>
      <c r="G1409" s="5"/>
      <c r="H1409" s="5"/>
      <c r="I1409" s="3"/>
      <c r="J1409" s="3"/>
      <c r="K1409" s="3"/>
      <c r="L1409" s="3"/>
      <c r="M1409" s="3"/>
      <c r="N1409" s="3"/>
      <c r="O1409" s="3"/>
      <c r="P1409" s="3"/>
      <c r="Q1409" s="3"/>
      <c r="R1409" s="3"/>
      <c r="S1409" s="3"/>
      <c r="T1409" s="3"/>
      <c r="U1409" s="3"/>
      <c r="V1409" s="3"/>
      <c r="W1409" s="3"/>
      <c r="X1409" s="3"/>
      <c r="Y1409" s="3"/>
    </row>
    <row r="1410">
      <c r="A1410" s="5"/>
      <c r="B1410" s="5"/>
      <c r="C1410" s="5"/>
      <c r="D1410" s="5"/>
      <c r="E1410" s="3"/>
      <c r="F1410" s="5"/>
      <c r="G1410" s="5"/>
      <c r="H1410" s="5"/>
      <c r="I1410" s="3"/>
      <c r="J1410" s="3"/>
      <c r="K1410" s="3"/>
      <c r="L1410" s="3"/>
      <c r="M1410" s="3"/>
      <c r="N1410" s="3"/>
      <c r="O1410" s="3"/>
      <c r="P1410" s="3"/>
      <c r="Q1410" s="3"/>
      <c r="R1410" s="3"/>
      <c r="S1410" s="3"/>
      <c r="T1410" s="3"/>
      <c r="U1410" s="3"/>
      <c r="V1410" s="3"/>
      <c r="W1410" s="3"/>
      <c r="X1410" s="3"/>
      <c r="Y1410" s="3"/>
    </row>
    <row r="1411">
      <c r="A1411" s="5"/>
      <c r="B1411" s="5"/>
      <c r="C1411" s="5"/>
      <c r="D1411" s="5"/>
      <c r="E1411" s="3"/>
      <c r="F1411" s="5"/>
      <c r="G1411" s="5"/>
      <c r="H1411" s="5"/>
      <c r="I1411" s="3"/>
      <c r="J1411" s="3"/>
      <c r="K1411" s="3"/>
      <c r="L1411" s="3"/>
      <c r="M1411" s="3"/>
      <c r="N1411" s="3"/>
      <c r="O1411" s="3"/>
      <c r="P1411" s="3"/>
      <c r="Q1411" s="3"/>
      <c r="R1411" s="3"/>
      <c r="S1411" s="3"/>
      <c r="T1411" s="3"/>
      <c r="U1411" s="3"/>
      <c r="V1411" s="3"/>
      <c r="W1411" s="3"/>
      <c r="X1411" s="3"/>
      <c r="Y1411" s="3"/>
    </row>
    <row r="1412">
      <c r="A1412" s="5"/>
      <c r="B1412" s="5"/>
      <c r="C1412" s="5"/>
      <c r="D1412" s="5"/>
      <c r="E1412" s="3"/>
      <c r="F1412" s="5"/>
      <c r="G1412" s="5"/>
      <c r="H1412" s="5"/>
      <c r="I1412" s="3"/>
      <c r="J1412" s="3"/>
      <c r="K1412" s="3"/>
      <c r="L1412" s="3"/>
      <c r="M1412" s="3"/>
      <c r="N1412" s="3"/>
      <c r="O1412" s="3"/>
      <c r="P1412" s="3"/>
      <c r="Q1412" s="3"/>
      <c r="R1412" s="3"/>
      <c r="S1412" s="3"/>
      <c r="T1412" s="3"/>
      <c r="U1412" s="3"/>
      <c r="V1412" s="3"/>
      <c r="W1412" s="3"/>
      <c r="X1412" s="3"/>
      <c r="Y1412" s="3"/>
    </row>
    <row r="1413">
      <c r="A1413" s="5"/>
      <c r="B1413" s="5"/>
      <c r="C1413" s="5"/>
      <c r="D1413" s="5"/>
      <c r="E1413" s="3"/>
      <c r="F1413" s="5"/>
      <c r="G1413" s="5"/>
      <c r="H1413" s="5"/>
      <c r="I1413" s="3"/>
      <c r="J1413" s="3"/>
      <c r="K1413" s="3"/>
      <c r="L1413" s="3"/>
      <c r="M1413" s="3"/>
      <c r="N1413" s="3"/>
      <c r="O1413" s="3"/>
      <c r="P1413" s="3"/>
      <c r="Q1413" s="3"/>
      <c r="R1413" s="3"/>
      <c r="S1413" s="3"/>
      <c r="T1413" s="3"/>
      <c r="U1413" s="3"/>
      <c r="V1413" s="3"/>
      <c r="W1413" s="3"/>
      <c r="X1413" s="3"/>
      <c r="Y1413" s="3"/>
    </row>
    <row r="1414">
      <c r="A1414" s="5"/>
      <c r="B1414" s="5"/>
      <c r="C1414" s="5"/>
      <c r="D1414" s="5"/>
      <c r="E1414" s="3"/>
      <c r="F1414" s="5"/>
      <c r="G1414" s="5"/>
      <c r="H1414" s="5"/>
      <c r="I1414" s="3"/>
      <c r="J1414" s="3"/>
      <c r="K1414" s="3"/>
      <c r="L1414" s="3"/>
      <c r="M1414" s="3"/>
      <c r="N1414" s="3"/>
      <c r="O1414" s="3"/>
      <c r="P1414" s="3"/>
      <c r="Q1414" s="3"/>
      <c r="R1414" s="3"/>
      <c r="S1414" s="3"/>
      <c r="T1414" s="3"/>
      <c r="U1414" s="3"/>
      <c r="V1414" s="3"/>
      <c r="W1414" s="3"/>
      <c r="X1414" s="3"/>
      <c r="Y1414" s="3"/>
    </row>
    <row r="1415">
      <c r="A1415" s="5"/>
      <c r="B1415" s="5"/>
      <c r="C1415" s="5"/>
      <c r="D1415" s="5"/>
      <c r="E1415" s="3"/>
      <c r="F1415" s="5"/>
      <c r="G1415" s="5"/>
      <c r="H1415" s="5"/>
      <c r="I1415" s="3"/>
      <c r="J1415" s="3"/>
      <c r="K1415" s="3"/>
      <c r="L1415" s="3"/>
      <c r="M1415" s="3"/>
      <c r="N1415" s="3"/>
      <c r="O1415" s="3"/>
      <c r="P1415" s="3"/>
      <c r="Q1415" s="3"/>
      <c r="R1415" s="3"/>
      <c r="S1415" s="3"/>
      <c r="T1415" s="3"/>
      <c r="U1415" s="3"/>
      <c r="V1415" s="3"/>
      <c r="W1415" s="3"/>
      <c r="X1415" s="3"/>
      <c r="Y1415" s="3"/>
    </row>
    <row r="1416">
      <c r="A1416" s="5"/>
      <c r="B1416" s="5"/>
      <c r="C1416" s="5"/>
      <c r="D1416" s="5"/>
      <c r="E1416" s="3"/>
      <c r="F1416" s="5"/>
      <c r="G1416" s="5"/>
      <c r="H1416" s="5"/>
      <c r="I1416" s="3"/>
      <c r="J1416" s="3"/>
      <c r="K1416" s="3"/>
      <c r="L1416" s="3"/>
      <c r="M1416" s="3"/>
      <c r="N1416" s="3"/>
      <c r="O1416" s="3"/>
      <c r="P1416" s="3"/>
      <c r="Q1416" s="3"/>
      <c r="R1416" s="3"/>
      <c r="S1416" s="3"/>
      <c r="T1416" s="3"/>
      <c r="U1416" s="3"/>
      <c r="V1416" s="3"/>
      <c r="W1416" s="3"/>
      <c r="X1416" s="3"/>
      <c r="Y1416" s="3"/>
    </row>
    <row r="1417">
      <c r="A1417" s="5"/>
      <c r="B1417" s="5"/>
      <c r="C1417" s="5"/>
      <c r="D1417" s="5"/>
      <c r="E1417" s="3"/>
      <c r="F1417" s="5"/>
      <c r="G1417" s="5"/>
      <c r="H1417" s="5"/>
      <c r="I1417" s="3"/>
      <c r="J1417" s="3"/>
      <c r="K1417" s="3"/>
      <c r="L1417" s="3"/>
      <c r="M1417" s="3"/>
      <c r="N1417" s="3"/>
      <c r="O1417" s="3"/>
      <c r="P1417" s="3"/>
      <c r="Q1417" s="3"/>
      <c r="R1417" s="3"/>
      <c r="S1417" s="3"/>
      <c r="T1417" s="3"/>
      <c r="U1417" s="3"/>
      <c r="V1417" s="3"/>
      <c r="W1417" s="3"/>
      <c r="X1417" s="3"/>
      <c r="Y1417" s="3"/>
    </row>
    <row r="1418">
      <c r="A1418" s="5"/>
      <c r="B1418" s="5"/>
      <c r="C1418" s="5"/>
      <c r="D1418" s="5"/>
      <c r="E1418" s="3"/>
      <c r="F1418" s="5"/>
      <c r="G1418" s="5"/>
      <c r="H1418" s="5"/>
      <c r="I1418" s="3"/>
      <c r="J1418" s="3"/>
      <c r="K1418" s="3"/>
      <c r="L1418" s="3"/>
      <c r="M1418" s="3"/>
      <c r="N1418" s="3"/>
      <c r="O1418" s="3"/>
      <c r="P1418" s="3"/>
      <c r="Q1418" s="3"/>
      <c r="R1418" s="3"/>
      <c r="S1418" s="3"/>
      <c r="T1418" s="3"/>
      <c r="U1418" s="3"/>
      <c r="V1418" s="3"/>
      <c r="W1418" s="3"/>
      <c r="X1418" s="3"/>
      <c r="Y1418" s="3"/>
    </row>
    <row r="1419">
      <c r="A1419" s="5"/>
      <c r="B1419" s="5"/>
      <c r="C1419" s="5"/>
      <c r="D1419" s="5"/>
      <c r="E1419" s="3"/>
      <c r="F1419" s="5"/>
      <c r="G1419" s="5"/>
      <c r="H1419" s="5"/>
      <c r="I1419" s="3"/>
      <c r="J1419" s="3"/>
      <c r="K1419" s="3"/>
      <c r="L1419" s="3"/>
      <c r="M1419" s="3"/>
      <c r="N1419" s="3"/>
      <c r="O1419" s="3"/>
      <c r="P1419" s="3"/>
      <c r="Q1419" s="3"/>
      <c r="R1419" s="3"/>
      <c r="S1419" s="3"/>
      <c r="T1419" s="3"/>
      <c r="U1419" s="3"/>
      <c r="V1419" s="3"/>
      <c r="W1419" s="3"/>
      <c r="X1419" s="3"/>
      <c r="Y1419" s="3"/>
    </row>
    <row r="1420">
      <c r="A1420" s="5"/>
      <c r="B1420" s="5"/>
      <c r="C1420" s="5"/>
      <c r="D1420" s="5"/>
      <c r="E1420" s="3"/>
      <c r="F1420" s="5"/>
      <c r="G1420" s="5"/>
      <c r="H1420" s="5"/>
      <c r="I1420" s="3"/>
      <c r="J1420" s="3"/>
      <c r="K1420" s="3"/>
      <c r="L1420" s="3"/>
      <c r="M1420" s="3"/>
      <c r="N1420" s="3"/>
      <c r="O1420" s="3"/>
      <c r="P1420" s="3"/>
      <c r="Q1420" s="3"/>
      <c r="R1420" s="3"/>
      <c r="S1420" s="3"/>
      <c r="T1420" s="3"/>
      <c r="U1420" s="3"/>
      <c r="V1420" s="3"/>
      <c r="W1420" s="3"/>
      <c r="X1420" s="3"/>
      <c r="Y1420" s="3"/>
    </row>
    <row r="1421">
      <c r="A1421" s="5"/>
      <c r="B1421" s="5"/>
      <c r="C1421" s="5"/>
      <c r="D1421" s="5"/>
      <c r="E1421" s="3"/>
      <c r="F1421" s="5"/>
      <c r="G1421" s="5"/>
      <c r="H1421" s="5"/>
      <c r="I1421" s="3"/>
      <c r="J1421" s="3"/>
      <c r="K1421" s="3"/>
      <c r="L1421" s="3"/>
      <c r="M1421" s="3"/>
      <c r="N1421" s="3"/>
      <c r="O1421" s="3"/>
      <c r="P1421" s="3"/>
      <c r="Q1421" s="3"/>
      <c r="R1421" s="3"/>
      <c r="S1421" s="3"/>
      <c r="T1421" s="3"/>
      <c r="U1421" s="3"/>
      <c r="V1421" s="3"/>
      <c r="W1421" s="3"/>
      <c r="X1421" s="3"/>
      <c r="Y1421" s="3"/>
    </row>
    <row r="1422">
      <c r="A1422" s="5"/>
      <c r="B1422" s="5"/>
      <c r="C1422" s="5"/>
      <c r="D1422" s="5"/>
      <c r="E1422" s="3"/>
      <c r="F1422" s="5"/>
      <c r="G1422" s="5"/>
      <c r="H1422" s="5"/>
      <c r="I1422" s="3"/>
      <c r="J1422" s="3"/>
      <c r="K1422" s="3"/>
      <c r="L1422" s="3"/>
      <c r="M1422" s="3"/>
      <c r="N1422" s="3"/>
      <c r="O1422" s="3"/>
      <c r="P1422" s="3"/>
      <c r="Q1422" s="3"/>
      <c r="R1422" s="3"/>
      <c r="S1422" s="3"/>
      <c r="T1422" s="3"/>
      <c r="U1422" s="3"/>
      <c r="V1422" s="3"/>
      <c r="W1422" s="3"/>
      <c r="X1422" s="3"/>
      <c r="Y1422" s="3"/>
    </row>
    <row r="1423">
      <c r="A1423" s="5"/>
      <c r="B1423" s="5"/>
      <c r="C1423" s="5"/>
      <c r="D1423" s="5"/>
      <c r="E1423" s="3"/>
      <c r="F1423" s="5"/>
      <c r="G1423" s="5"/>
      <c r="H1423" s="5"/>
      <c r="I1423" s="3"/>
      <c r="J1423" s="3"/>
      <c r="K1423" s="3"/>
      <c r="L1423" s="3"/>
      <c r="M1423" s="3"/>
      <c r="N1423" s="3"/>
      <c r="O1423" s="3"/>
      <c r="P1423" s="3"/>
      <c r="Q1423" s="3"/>
      <c r="R1423" s="3"/>
      <c r="S1423" s="3"/>
      <c r="T1423" s="3"/>
      <c r="U1423" s="3"/>
      <c r="V1423" s="3"/>
      <c r="W1423" s="3"/>
      <c r="X1423" s="3"/>
      <c r="Y1423" s="3"/>
    </row>
    <row r="1424">
      <c r="A1424" s="5"/>
      <c r="B1424" s="5"/>
      <c r="C1424" s="5"/>
      <c r="D1424" s="5"/>
      <c r="E1424" s="3"/>
      <c r="F1424" s="5"/>
      <c r="G1424" s="5"/>
      <c r="H1424" s="5"/>
      <c r="I1424" s="3"/>
      <c r="J1424" s="3"/>
      <c r="K1424" s="3"/>
      <c r="L1424" s="3"/>
      <c r="M1424" s="3"/>
      <c r="N1424" s="3"/>
      <c r="O1424" s="3"/>
      <c r="P1424" s="3"/>
      <c r="Q1424" s="3"/>
      <c r="R1424" s="3"/>
      <c r="S1424" s="3"/>
      <c r="T1424" s="3"/>
      <c r="U1424" s="3"/>
      <c r="V1424" s="3"/>
      <c r="W1424" s="3"/>
      <c r="X1424" s="3"/>
      <c r="Y1424" s="3"/>
    </row>
    <row r="1425">
      <c r="A1425" s="5"/>
      <c r="B1425" s="5"/>
      <c r="C1425" s="5"/>
      <c r="D1425" s="5"/>
      <c r="E1425" s="3"/>
      <c r="F1425" s="5"/>
      <c r="G1425" s="5"/>
      <c r="H1425" s="5"/>
      <c r="I1425" s="3"/>
      <c r="J1425" s="3"/>
      <c r="K1425" s="3"/>
      <c r="L1425" s="3"/>
      <c r="M1425" s="3"/>
      <c r="N1425" s="3"/>
      <c r="O1425" s="3"/>
      <c r="P1425" s="3"/>
      <c r="Q1425" s="3"/>
      <c r="R1425" s="3"/>
      <c r="S1425" s="3"/>
      <c r="T1425" s="3"/>
      <c r="U1425" s="3"/>
      <c r="V1425" s="3"/>
      <c r="W1425" s="3"/>
      <c r="X1425" s="3"/>
      <c r="Y1425" s="3"/>
    </row>
    <row r="1426">
      <c r="A1426" s="5"/>
      <c r="B1426" s="5"/>
      <c r="C1426" s="5"/>
      <c r="D1426" s="5"/>
      <c r="E1426" s="3"/>
      <c r="F1426" s="5"/>
      <c r="G1426" s="5"/>
      <c r="H1426" s="5"/>
      <c r="I1426" s="3"/>
      <c r="J1426" s="3"/>
      <c r="K1426" s="3"/>
      <c r="L1426" s="3"/>
      <c r="M1426" s="3"/>
      <c r="N1426" s="3"/>
      <c r="O1426" s="3"/>
      <c r="P1426" s="3"/>
      <c r="Q1426" s="3"/>
      <c r="R1426" s="3"/>
      <c r="S1426" s="3"/>
      <c r="T1426" s="3"/>
      <c r="U1426" s="3"/>
      <c r="V1426" s="3"/>
      <c r="W1426" s="3"/>
      <c r="X1426" s="3"/>
      <c r="Y1426" s="3"/>
    </row>
    <row r="1427">
      <c r="A1427" s="5"/>
      <c r="B1427" s="5"/>
      <c r="C1427" s="5"/>
      <c r="D1427" s="5"/>
      <c r="E1427" s="3"/>
      <c r="F1427" s="5"/>
      <c r="G1427" s="5"/>
      <c r="H1427" s="5"/>
      <c r="I1427" s="3"/>
      <c r="J1427" s="3"/>
      <c r="K1427" s="3"/>
      <c r="L1427" s="3"/>
      <c r="M1427" s="3"/>
      <c r="N1427" s="3"/>
      <c r="O1427" s="3"/>
      <c r="P1427" s="3"/>
      <c r="Q1427" s="3"/>
      <c r="R1427" s="3"/>
      <c r="S1427" s="3"/>
      <c r="T1427" s="3"/>
      <c r="U1427" s="3"/>
      <c r="V1427" s="3"/>
      <c r="W1427" s="3"/>
      <c r="X1427" s="3"/>
      <c r="Y1427" s="3"/>
    </row>
    <row r="1428">
      <c r="A1428" s="5"/>
      <c r="B1428" s="5"/>
      <c r="C1428" s="5"/>
      <c r="D1428" s="5"/>
      <c r="E1428" s="3"/>
      <c r="F1428" s="5"/>
      <c r="G1428" s="5"/>
      <c r="H1428" s="5"/>
      <c r="I1428" s="3"/>
      <c r="J1428" s="3"/>
      <c r="K1428" s="3"/>
      <c r="L1428" s="3"/>
      <c r="M1428" s="3"/>
      <c r="N1428" s="3"/>
      <c r="O1428" s="3"/>
      <c r="P1428" s="3"/>
      <c r="Q1428" s="3"/>
      <c r="R1428" s="3"/>
      <c r="S1428" s="3"/>
      <c r="T1428" s="3"/>
      <c r="U1428" s="3"/>
      <c r="V1428" s="3"/>
      <c r="W1428" s="3"/>
      <c r="X1428" s="3"/>
      <c r="Y1428" s="3"/>
    </row>
    <row r="1429">
      <c r="A1429" s="5"/>
      <c r="B1429" s="5"/>
      <c r="C1429" s="5"/>
      <c r="D1429" s="5"/>
      <c r="E1429" s="3"/>
      <c r="F1429" s="5"/>
      <c r="G1429" s="5"/>
      <c r="H1429" s="5"/>
      <c r="I1429" s="3"/>
      <c r="J1429" s="3"/>
      <c r="K1429" s="3"/>
      <c r="L1429" s="3"/>
      <c r="M1429" s="3"/>
      <c r="N1429" s="3"/>
      <c r="O1429" s="3"/>
      <c r="P1429" s="3"/>
      <c r="Q1429" s="3"/>
      <c r="R1429" s="3"/>
      <c r="S1429" s="3"/>
      <c r="T1429" s="3"/>
      <c r="U1429" s="3"/>
      <c r="V1429" s="3"/>
      <c r="W1429" s="3"/>
      <c r="X1429" s="3"/>
      <c r="Y1429" s="3"/>
    </row>
    <row r="1430">
      <c r="A1430" s="5"/>
      <c r="B1430" s="5"/>
      <c r="C1430" s="5"/>
      <c r="D1430" s="5"/>
      <c r="E1430" s="3"/>
      <c r="F1430" s="5"/>
      <c r="G1430" s="5"/>
      <c r="H1430" s="5"/>
      <c r="I1430" s="3"/>
      <c r="J1430" s="3"/>
      <c r="K1430" s="3"/>
      <c r="L1430" s="3"/>
      <c r="M1430" s="3"/>
      <c r="N1430" s="3"/>
      <c r="O1430" s="3"/>
      <c r="P1430" s="3"/>
      <c r="Q1430" s="3"/>
      <c r="R1430" s="3"/>
      <c r="S1430" s="3"/>
      <c r="T1430" s="3"/>
      <c r="U1430" s="3"/>
      <c r="V1430" s="3"/>
      <c r="W1430" s="3"/>
      <c r="X1430" s="3"/>
      <c r="Y1430" s="3"/>
    </row>
    <row r="1431">
      <c r="A1431" s="5"/>
      <c r="B1431" s="5"/>
      <c r="C1431" s="5"/>
      <c r="D1431" s="5"/>
      <c r="E1431" s="3"/>
      <c r="F1431" s="5"/>
      <c r="G1431" s="5"/>
      <c r="H1431" s="5"/>
      <c r="I1431" s="3"/>
      <c r="J1431" s="3"/>
      <c r="K1431" s="3"/>
      <c r="L1431" s="3"/>
      <c r="M1431" s="3"/>
      <c r="N1431" s="3"/>
      <c r="O1431" s="3"/>
      <c r="P1431" s="3"/>
      <c r="Q1431" s="3"/>
      <c r="R1431" s="3"/>
      <c r="S1431" s="3"/>
      <c r="T1431" s="3"/>
      <c r="U1431" s="3"/>
      <c r="V1431" s="3"/>
      <c r="W1431" s="3"/>
      <c r="X1431" s="3"/>
      <c r="Y1431" s="3"/>
    </row>
    <row r="1432">
      <c r="A1432" s="5"/>
      <c r="B1432" s="5"/>
      <c r="C1432" s="5"/>
      <c r="D1432" s="5"/>
      <c r="E1432" s="3"/>
      <c r="F1432" s="5"/>
      <c r="G1432" s="5"/>
      <c r="H1432" s="5"/>
      <c r="I1432" s="3"/>
      <c r="J1432" s="3"/>
      <c r="K1432" s="3"/>
      <c r="L1432" s="3"/>
      <c r="M1432" s="3"/>
      <c r="N1432" s="3"/>
      <c r="O1432" s="3"/>
      <c r="P1432" s="3"/>
      <c r="Q1432" s="3"/>
      <c r="R1432" s="3"/>
      <c r="S1432" s="3"/>
      <c r="T1432" s="3"/>
      <c r="U1432" s="3"/>
      <c r="V1432" s="3"/>
      <c r="W1432" s="3"/>
      <c r="X1432" s="3"/>
      <c r="Y1432" s="3"/>
    </row>
    <row r="1433">
      <c r="A1433" s="5"/>
      <c r="B1433" s="5"/>
      <c r="C1433" s="5"/>
      <c r="D1433" s="5"/>
      <c r="E1433" s="3"/>
      <c r="F1433" s="5"/>
      <c r="G1433" s="5"/>
      <c r="H1433" s="5"/>
      <c r="I1433" s="3"/>
      <c r="J1433" s="3"/>
      <c r="K1433" s="3"/>
      <c r="L1433" s="3"/>
      <c r="M1433" s="3"/>
      <c r="N1433" s="3"/>
      <c r="O1433" s="3"/>
      <c r="P1433" s="3"/>
      <c r="Q1433" s="3"/>
      <c r="R1433" s="3"/>
      <c r="S1433" s="3"/>
      <c r="T1433" s="3"/>
      <c r="U1433" s="3"/>
      <c r="V1433" s="3"/>
      <c r="W1433" s="3"/>
      <c r="X1433" s="3"/>
      <c r="Y1433" s="3"/>
    </row>
    <row r="1434">
      <c r="A1434" s="5"/>
      <c r="B1434" s="5"/>
      <c r="C1434" s="5"/>
      <c r="D1434" s="5"/>
      <c r="E1434" s="3"/>
      <c r="F1434" s="5"/>
      <c r="G1434" s="5"/>
      <c r="H1434" s="5"/>
      <c r="I1434" s="3"/>
      <c r="J1434" s="3"/>
      <c r="K1434" s="3"/>
      <c r="L1434" s="3"/>
      <c r="M1434" s="3"/>
      <c r="N1434" s="3"/>
      <c r="O1434" s="3"/>
      <c r="P1434" s="3"/>
      <c r="Q1434" s="3"/>
      <c r="R1434" s="3"/>
      <c r="S1434" s="3"/>
      <c r="T1434" s="3"/>
      <c r="U1434" s="3"/>
      <c r="V1434" s="3"/>
      <c r="W1434" s="3"/>
      <c r="X1434" s="3"/>
      <c r="Y1434" s="3"/>
    </row>
    <row r="1435">
      <c r="A1435" s="5"/>
      <c r="B1435" s="5"/>
      <c r="C1435" s="5"/>
      <c r="D1435" s="5"/>
      <c r="E1435" s="3"/>
      <c r="F1435" s="5"/>
      <c r="G1435" s="5"/>
      <c r="H1435" s="5"/>
      <c r="I1435" s="3"/>
      <c r="J1435" s="3"/>
      <c r="K1435" s="3"/>
      <c r="L1435" s="3"/>
      <c r="M1435" s="3"/>
      <c r="N1435" s="3"/>
      <c r="O1435" s="3"/>
      <c r="P1435" s="3"/>
      <c r="Q1435" s="3"/>
      <c r="R1435" s="3"/>
      <c r="S1435" s="3"/>
      <c r="T1435" s="3"/>
      <c r="U1435" s="3"/>
      <c r="V1435" s="3"/>
      <c r="W1435" s="3"/>
      <c r="X1435" s="3"/>
      <c r="Y1435" s="3"/>
    </row>
    <row r="1436">
      <c r="A1436" s="5"/>
      <c r="B1436" s="5"/>
      <c r="C1436" s="5"/>
      <c r="D1436" s="5"/>
      <c r="E1436" s="3"/>
      <c r="F1436" s="5"/>
      <c r="G1436" s="5"/>
      <c r="H1436" s="5"/>
      <c r="I1436" s="3"/>
      <c r="J1436" s="3"/>
      <c r="K1436" s="3"/>
      <c r="L1436" s="3"/>
      <c r="M1436" s="3"/>
      <c r="N1436" s="3"/>
      <c r="O1436" s="3"/>
      <c r="P1436" s="3"/>
      <c r="Q1436" s="3"/>
      <c r="R1436" s="3"/>
      <c r="S1436" s="3"/>
      <c r="T1436" s="3"/>
      <c r="U1436" s="3"/>
      <c r="V1436" s="3"/>
      <c r="W1436" s="3"/>
      <c r="X1436" s="3"/>
      <c r="Y1436" s="3"/>
    </row>
    <row r="1437">
      <c r="A1437" s="5"/>
      <c r="B1437" s="5"/>
      <c r="C1437" s="5"/>
      <c r="D1437" s="5"/>
      <c r="E1437" s="3"/>
      <c r="F1437" s="5"/>
      <c r="G1437" s="5"/>
      <c r="H1437" s="5"/>
      <c r="I1437" s="3"/>
      <c r="J1437" s="3"/>
      <c r="K1437" s="3"/>
      <c r="L1437" s="3"/>
      <c r="M1437" s="3"/>
      <c r="N1437" s="3"/>
      <c r="O1437" s="3"/>
      <c r="P1437" s="3"/>
      <c r="Q1437" s="3"/>
      <c r="R1437" s="3"/>
      <c r="S1437" s="3"/>
      <c r="T1437" s="3"/>
      <c r="U1437" s="3"/>
      <c r="V1437" s="3"/>
      <c r="W1437" s="3"/>
      <c r="X1437" s="3"/>
      <c r="Y1437" s="3"/>
    </row>
    <row r="1438">
      <c r="A1438" s="5"/>
      <c r="B1438" s="5"/>
      <c r="C1438" s="5"/>
      <c r="D1438" s="5"/>
      <c r="E1438" s="3"/>
      <c r="F1438" s="5"/>
      <c r="G1438" s="5"/>
      <c r="H1438" s="5"/>
      <c r="I1438" s="3"/>
      <c r="J1438" s="3"/>
      <c r="K1438" s="3"/>
      <c r="L1438" s="3"/>
      <c r="M1438" s="3"/>
      <c r="N1438" s="3"/>
      <c r="O1438" s="3"/>
      <c r="P1438" s="3"/>
      <c r="Q1438" s="3"/>
      <c r="R1438" s="3"/>
      <c r="S1438" s="3"/>
      <c r="T1438" s="3"/>
      <c r="U1438" s="3"/>
      <c r="V1438" s="3"/>
      <c r="W1438" s="3"/>
      <c r="X1438" s="3"/>
      <c r="Y1438" s="3"/>
    </row>
    <row r="1439">
      <c r="A1439" s="5"/>
      <c r="B1439" s="5"/>
      <c r="C1439" s="5"/>
      <c r="D1439" s="5"/>
      <c r="E1439" s="3"/>
      <c r="F1439" s="5"/>
      <c r="G1439" s="5"/>
      <c r="H1439" s="5"/>
      <c r="I1439" s="3"/>
      <c r="J1439" s="3"/>
      <c r="K1439" s="3"/>
      <c r="L1439" s="3"/>
      <c r="M1439" s="3"/>
      <c r="N1439" s="3"/>
      <c r="O1439" s="3"/>
      <c r="P1439" s="3"/>
      <c r="Q1439" s="3"/>
      <c r="R1439" s="3"/>
      <c r="S1439" s="3"/>
      <c r="T1439" s="3"/>
      <c r="U1439" s="3"/>
      <c r="V1439" s="3"/>
      <c r="W1439" s="3"/>
      <c r="X1439" s="3"/>
      <c r="Y1439" s="3"/>
    </row>
    <row r="1440">
      <c r="A1440" s="5"/>
      <c r="B1440" s="5"/>
      <c r="C1440" s="5"/>
      <c r="D1440" s="5"/>
      <c r="E1440" s="3"/>
      <c r="F1440" s="5"/>
      <c r="G1440" s="5"/>
      <c r="H1440" s="5"/>
      <c r="I1440" s="3"/>
      <c r="J1440" s="3"/>
      <c r="K1440" s="3"/>
      <c r="L1440" s="3"/>
      <c r="M1440" s="3"/>
      <c r="N1440" s="3"/>
      <c r="O1440" s="3"/>
      <c r="P1440" s="3"/>
      <c r="Q1440" s="3"/>
      <c r="R1440" s="3"/>
      <c r="S1440" s="3"/>
      <c r="T1440" s="3"/>
      <c r="U1440" s="3"/>
      <c r="V1440" s="3"/>
      <c r="W1440" s="3"/>
      <c r="X1440" s="3"/>
      <c r="Y1440" s="3"/>
    </row>
    <row r="1441">
      <c r="A1441" s="5"/>
      <c r="B1441" s="5"/>
      <c r="C1441" s="5"/>
      <c r="D1441" s="5"/>
      <c r="E1441" s="3"/>
      <c r="F1441" s="5"/>
      <c r="G1441" s="5"/>
      <c r="H1441" s="5"/>
      <c r="I1441" s="3"/>
      <c r="J1441" s="3"/>
      <c r="K1441" s="3"/>
      <c r="L1441" s="3"/>
      <c r="M1441" s="3"/>
      <c r="N1441" s="3"/>
      <c r="O1441" s="3"/>
      <c r="P1441" s="3"/>
      <c r="Q1441" s="3"/>
      <c r="R1441" s="3"/>
      <c r="S1441" s="3"/>
      <c r="T1441" s="3"/>
      <c r="U1441" s="3"/>
      <c r="V1441" s="3"/>
      <c r="W1441" s="3"/>
      <c r="X1441" s="3"/>
      <c r="Y1441" s="3"/>
    </row>
    <row r="1442">
      <c r="A1442" s="5"/>
      <c r="B1442" s="5"/>
      <c r="C1442" s="5"/>
      <c r="D1442" s="5"/>
      <c r="E1442" s="3"/>
      <c r="F1442" s="5"/>
      <c r="G1442" s="5"/>
      <c r="H1442" s="5"/>
      <c r="I1442" s="3"/>
      <c r="J1442" s="3"/>
      <c r="K1442" s="3"/>
      <c r="L1442" s="3"/>
      <c r="M1442" s="3"/>
      <c r="N1442" s="3"/>
      <c r="O1442" s="3"/>
      <c r="P1442" s="3"/>
      <c r="Q1442" s="3"/>
      <c r="R1442" s="3"/>
      <c r="S1442" s="3"/>
      <c r="T1442" s="3"/>
      <c r="U1442" s="3"/>
      <c r="V1442" s="3"/>
      <c r="W1442" s="3"/>
      <c r="X1442" s="3"/>
      <c r="Y1442" s="3"/>
    </row>
    <row r="1443">
      <c r="A1443" s="5"/>
      <c r="B1443" s="5"/>
      <c r="C1443" s="5"/>
      <c r="D1443" s="5"/>
      <c r="E1443" s="3"/>
      <c r="F1443" s="5"/>
      <c r="G1443" s="5"/>
      <c r="H1443" s="5"/>
      <c r="I1443" s="3"/>
      <c r="J1443" s="3"/>
      <c r="K1443" s="3"/>
      <c r="L1443" s="3"/>
      <c r="M1443" s="3"/>
      <c r="N1443" s="3"/>
      <c r="O1443" s="3"/>
      <c r="P1443" s="3"/>
      <c r="Q1443" s="3"/>
      <c r="R1443" s="3"/>
      <c r="S1443" s="3"/>
      <c r="T1443" s="3"/>
      <c r="U1443" s="3"/>
      <c r="V1443" s="3"/>
      <c r="W1443" s="3"/>
      <c r="X1443" s="3"/>
      <c r="Y1443" s="3"/>
    </row>
    <row r="1444">
      <c r="A1444" s="5"/>
      <c r="B1444" s="5"/>
      <c r="C1444" s="5"/>
      <c r="D1444" s="5"/>
      <c r="E1444" s="3"/>
      <c r="F1444" s="5"/>
      <c r="G1444" s="5"/>
      <c r="H1444" s="5"/>
      <c r="I1444" s="3"/>
      <c r="J1444" s="3"/>
      <c r="K1444" s="3"/>
      <c r="L1444" s="3"/>
      <c r="M1444" s="3"/>
      <c r="N1444" s="3"/>
      <c r="O1444" s="3"/>
      <c r="P1444" s="3"/>
      <c r="Q1444" s="3"/>
      <c r="R1444" s="3"/>
      <c r="S1444" s="3"/>
      <c r="T1444" s="3"/>
      <c r="U1444" s="3"/>
      <c r="V1444" s="3"/>
      <c r="W1444" s="3"/>
      <c r="X1444" s="3"/>
      <c r="Y1444" s="3"/>
    </row>
    <row r="1445">
      <c r="A1445" s="5"/>
      <c r="B1445" s="5"/>
      <c r="C1445" s="5"/>
      <c r="D1445" s="5"/>
      <c r="E1445" s="3"/>
      <c r="F1445" s="5"/>
      <c r="G1445" s="5"/>
      <c r="H1445" s="5"/>
      <c r="I1445" s="3"/>
      <c r="J1445" s="3"/>
      <c r="K1445" s="3"/>
      <c r="L1445" s="3"/>
      <c r="M1445" s="3"/>
      <c r="N1445" s="3"/>
      <c r="O1445" s="3"/>
      <c r="P1445" s="3"/>
      <c r="Q1445" s="3"/>
      <c r="R1445" s="3"/>
      <c r="S1445" s="3"/>
      <c r="T1445" s="3"/>
      <c r="U1445" s="3"/>
      <c r="V1445" s="3"/>
      <c r="W1445" s="3"/>
      <c r="X1445" s="3"/>
      <c r="Y1445" s="3"/>
    </row>
    <row r="1446">
      <c r="A1446" s="5"/>
      <c r="B1446" s="5"/>
      <c r="C1446" s="5"/>
      <c r="D1446" s="5"/>
      <c r="E1446" s="3"/>
      <c r="F1446" s="5"/>
      <c r="G1446" s="5"/>
      <c r="H1446" s="5"/>
      <c r="I1446" s="3"/>
      <c r="J1446" s="3"/>
      <c r="K1446" s="3"/>
      <c r="L1446" s="3"/>
      <c r="M1446" s="3"/>
      <c r="N1446" s="3"/>
      <c r="O1446" s="3"/>
      <c r="P1446" s="3"/>
      <c r="Q1446" s="3"/>
      <c r="R1446" s="3"/>
      <c r="S1446" s="3"/>
      <c r="T1446" s="3"/>
      <c r="U1446" s="3"/>
      <c r="V1446" s="3"/>
      <c r="W1446" s="3"/>
      <c r="X1446" s="3"/>
      <c r="Y1446" s="3"/>
    </row>
    <row r="1447">
      <c r="A1447" s="5"/>
      <c r="B1447" s="5"/>
      <c r="C1447" s="5"/>
      <c r="D1447" s="5"/>
      <c r="E1447" s="3"/>
      <c r="F1447" s="5"/>
      <c r="G1447" s="5"/>
      <c r="H1447" s="5"/>
      <c r="I1447" s="3"/>
      <c r="J1447" s="3"/>
      <c r="K1447" s="3"/>
      <c r="L1447" s="3"/>
      <c r="M1447" s="3"/>
      <c r="N1447" s="3"/>
      <c r="O1447" s="3"/>
      <c r="P1447" s="3"/>
      <c r="Q1447" s="3"/>
      <c r="R1447" s="3"/>
      <c r="S1447" s="3"/>
      <c r="T1447" s="3"/>
      <c r="U1447" s="3"/>
      <c r="V1447" s="3"/>
      <c r="W1447" s="3"/>
      <c r="X1447" s="3"/>
      <c r="Y1447" s="3"/>
    </row>
    <row r="1448">
      <c r="A1448" s="5"/>
      <c r="B1448" s="5"/>
      <c r="C1448" s="5"/>
      <c r="D1448" s="5"/>
      <c r="E1448" s="3"/>
      <c r="F1448" s="5"/>
      <c r="G1448" s="5"/>
      <c r="H1448" s="5"/>
      <c r="I1448" s="3"/>
      <c r="J1448" s="3"/>
      <c r="K1448" s="3"/>
      <c r="L1448" s="3"/>
      <c r="M1448" s="3"/>
      <c r="N1448" s="3"/>
      <c r="O1448" s="3"/>
      <c r="P1448" s="3"/>
      <c r="Q1448" s="3"/>
      <c r="R1448" s="3"/>
      <c r="S1448" s="3"/>
      <c r="T1448" s="3"/>
      <c r="U1448" s="3"/>
      <c r="V1448" s="3"/>
      <c r="W1448" s="3"/>
      <c r="X1448" s="3"/>
      <c r="Y1448" s="3"/>
    </row>
    <row r="1449">
      <c r="A1449" s="5"/>
      <c r="B1449" s="5"/>
      <c r="C1449" s="5"/>
      <c r="D1449" s="5"/>
      <c r="E1449" s="3"/>
      <c r="F1449" s="5"/>
      <c r="G1449" s="5"/>
      <c r="H1449" s="5"/>
      <c r="I1449" s="3"/>
      <c r="J1449" s="3"/>
      <c r="K1449" s="3"/>
      <c r="L1449" s="3"/>
      <c r="M1449" s="3"/>
      <c r="N1449" s="3"/>
      <c r="O1449" s="3"/>
      <c r="P1449" s="3"/>
      <c r="Q1449" s="3"/>
      <c r="R1449" s="3"/>
      <c r="S1449" s="3"/>
      <c r="T1449" s="3"/>
      <c r="U1449" s="3"/>
      <c r="V1449" s="3"/>
      <c r="W1449" s="3"/>
      <c r="X1449" s="3"/>
      <c r="Y1449" s="3"/>
    </row>
    <row r="1450">
      <c r="A1450" s="5"/>
      <c r="B1450" s="5"/>
      <c r="C1450" s="5"/>
      <c r="D1450" s="5"/>
      <c r="E1450" s="3"/>
      <c r="F1450" s="5"/>
      <c r="G1450" s="5"/>
      <c r="H1450" s="5"/>
      <c r="I1450" s="3"/>
      <c r="J1450" s="3"/>
      <c r="K1450" s="3"/>
      <c r="L1450" s="3"/>
      <c r="M1450" s="3"/>
      <c r="N1450" s="3"/>
      <c r="O1450" s="3"/>
      <c r="P1450" s="3"/>
      <c r="Q1450" s="3"/>
      <c r="R1450" s="3"/>
      <c r="S1450" s="3"/>
      <c r="T1450" s="3"/>
      <c r="U1450" s="3"/>
      <c r="V1450" s="3"/>
      <c r="W1450" s="3"/>
      <c r="X1450" s="3"/>
      <c r="Y1450" s="3"/>
    </row>
    <row r="1451">
      <c r="A1451" s="5"/>
      <c r="B1451" s="5"/>
      <c r="C1451" s="5"/>
      <c r="D1451" s="5"/>
      <c r="E1451" s="3"/>
      <c r="F1451" s="5"/>
      <c r="G1451" s="5"/>
      <c r="H1451" s="5"/>
      <c r="I1451" s="3"/>
      <c r="J1451" s="3"/>
      <c r="K1451" s="3"/>
      <c r="L1451" s="3"/>
      <c r="M1451" s="3"/>
      <c r="N1451" s="3"/>
      <c r="O1451" s="3"/>
      <c r="P1451" s="3"/>
      <c r="Q1451" s="3"/>
      <c r="R1451" s="3"/>
      <c r="S1451" s="3"/>
      <c r="T1451" s="3"/>
      <c r="U1451" s="3"/>
      <c r="V1451" s="3"/>
      <c r="W1451" s="3"/>
      <c r="X1451" s="3"/>
      <c r="Y1451" s="3"/>
    </row>
    <row r="1452">
      <c r="A1452" s="5"/>
      <c r="B1452" s="5"/>
      <c r="C1452" s="5"/>
      <c r="D1452" s="5"/>
      <c r="E1452" s="3"/>
      <c r="F1452" s="5"/>
      <c r="G1452" s="5"/>
      <c r="H1452" s="5"/>
      <c r="I1452" s="3"/>
      <c r="J1452" s="3"/>
      <c r="K1452" s="3"/>
      <c r="L1452" s="3"/>
      <c r="M1452" s="3"/>
      <c r="N1452" s="3"/>
      <c r="O1452" s="3"/>
      <c r="P1452" s="3"/>
      <c r="Q1452" s="3"/>
      <c r="R1452" s="3"/>
      <c r="S1452" s="3"/>
      <c r="T1452" s="3"/>
      <c r="U1452" s="3"/>
      <c r="V1452" s="3"/>
      <c r="W1452" s="3"/>
      <c r="X1452" s="3"/>
      <c r="Y1452" s="3"/>
    </row>
    <row r="1453">
      <c r="A1453" s="5"/>
      <c r="B1453" s="5"/>
      <c r="C1453" s="5"/>
      <c r="D1453" s="5"/>
      <c r="E1453" s="3"/>
      <c r="F1453" s="5"/>
      <c r="G1453" s="5"/>
      <c r="H1453" s="5"/>
      <c r="I1453" s="3"/>
      <c r="J1453" s="3"/>
      <c r="K1453" s="3"/>
      <c r="L1453" s="3"/>
      <c r="M1453" s="3"/>
      <c r="N1453" s="3"/>
      <c r="O1453" s="3"/>
      <c r="P1453" s="3"/>
      <c r="Q1453" s="3"/>
      <c r="R1453" s="3"/>
      <c r="S1453" s="3"/>
      <c r="T1453" s="3"/>
      <c r="U1453" s="3"/>
      <c r="V1453" s="3"/>
      <c r="W1453" s="3"/>
      <c r="X1453" s="3"/>
      <c r="Y1453" s="3"/>
    </row>
    <row r="1454">
      <c r="A1454" s="5"/>
      <c r="B1454" s="5"/>
      <c r="C1454" s="5"/>
      <c r="D1454" s="5"/>
      <c r="E1454" s="3"/>
      <c r="F1454" s="5"/>
      <c r="G1454" s="5"/>
      <c r="H1454" s="5"/>
      <c r="I1454" s="3"/>
      <c r="J1454" s="3"/>
      <c r="K1454" s="3"/>
      <c r="L1454" s="3"/>
      <c r="M1454" s="3"/>
      <c r="N1454" s="3"/>
      <c r="O1454" s="3"/>
      <c r="P1454" s="3"/>
      <c r="Q1454" s="3"/>
      <c r="R1454" s="3"/>
      <c r="S1454" s="3"/>
      <c r="T1454" s="3"/>
      <c r="U1454" s="3"/>
      <c r="V1454" s="3"/>
      <c r="W1454" s="3"/>
      <c r="X1454" s="3"/>
      <c r="Y1454" s="3"/>
    </row>
    <row r="1455">
      <c r="A1455" s="5"/>
      <c r="B1455" s="5"/>
      <c r="C1455" s="5"/>
      <c r="D1455" s="5"/>
      <c r="E1455" s="3"/>
      <c r="F1455" s="5"/>
      <c r="G1455" s="5"/>
      <c r="H1455" s="5"/>
      <c r="I1455" s="3"/>
      <c r="J1455" s="3"/>
      <c r="K1455" s="3"/>
      <c r="L1455" s="3"/>
      <c r="M1455" s="3"/>
      <c r="N1455" s="3"/>
      <c r="O1455" s="3"/>
      <c r="P1455" s="3"/>
      <c r="Q1455" s="3"/>
      <c r="R1455" s="3"/>
      <c r="S1455" s="3"/>
      <c r="T1455" s="3"/>
      <c r="U1455" s="3"/>
      <c r="V1455" s="3"/>
      <c r="W1455" s="3"/>
      <c r="X1455" s="3"/>
      <c r="Y1455" s="3"/>
    </row>
    <row r="1456">
      <c r="A1456" s="5"/>
      <c r="B1456" s="5"/>
      <c r="C1456" s="5"/>
      <c r="D1456" s="5"/>
      <c r="E1456" s="3"/>
      <c r="F1456" s="5"/>
      <c r="G1456" s="5"/>
      <c r="H1456" s="5"/>
      <c r="I1456" s="3"/>
      <c r="J1456" s="3"/>
      <c r="K1456" s="3"/>
      <c r="L1456" s="3"/>
      <c r="M1456" s="3"/>
      <c r="N1456" s="3"/>
      <c r="O1456" s="3"/>
      <c r="P1456" s="3"/>
      <c r="Q1456" s="3"/>
      <c r="R1456" s="3"/>
      <c r="S1456" s="3"/>
      <c r="T1456" s="3"/>
      <c r="U1456" s="3"/>
      <c r="V1456" s="3"/>
      <c r="W1456" s="3"/>
      <c r="X1456" s="3"/>
      <c r="Y1456" s="3"/>
    </row>
    <row r="1457">
      <c r="A1457" s="5"/>
      <c r="B1457" s="5"/>
      <c r="C1457" s="5"/>
      <c r="D1457" s="5"/>
      <c r="E1457" s="3"/>
      <c r="F1457" s="5"/>
      <c r="G1457" s="5"/>
      <c r="H1457" s="5"/>
      <c r="I1457" s="3"/>
      <c r="J1457" s="3"/>
      <c r="K1457" s="3"/>
      <c r="L1457" s="3"/>
      <c r="M1457" s="3"/>
      <c r="N1457" s="3"/>
      <c r="O1457" s="3"/>
      <c r="P1457" s="3"/>
      <c r="Q1457" s="3"/>
      <c r="R1457" s="3"/>
      <c r="S1457" s="3"/>
      <c r="T1457" s="3"/>
      <c r="U1457" s="3"/>
      <c r="V1457" s="3"/>
      <c r="W1457" s="3"/>
      <c r="X1457" s="3"/>
      <c r="Y1457" s="3"/>
    </row>
    <row r="1458">
      <c r="A1458" s="5"/>
      <c r="B1458" s="5"/>
      <c r="C1458" s="5"/>
      <c r="D1458" s="5"/>
      <c r="E1458" s="3"/>
      <c r="F1458" s="5"/>
      <c r="G1458" s="5"/>
      <c r="H1458" s="5"/>
      <c r="I1458" s="3"/>
      <c r="J1458" s="3"/>
      <c r="K1458" s="3"/>
      <c r="L1458" s="3"/>
      <c r="M1458" s="3"/>
      <c r="N1458" s="3"/>
      <c r="O1458" s="3"/>
      <c r="P1458" s="3"/>
      <c r="Q1458" s="3"/>
      <c r="R1458" s="3"/>
      <c r="S1458" s="3"/>
      <c r="T1458" s="3"/>
      <c r="U1458" s="3"/>
      <c r="V1458" s="3"/>
      <c r="W1458" s="3"/>
      <c r="X1458" s="3"/>
      <c r="Y1458" s="3"/>
    </row>
    <row r="1459">
      <c r="A1459" s="5"/>
      <c r="B1459" s="5"/>
      <c r="C1459" s="5"/>
      <c r="D1459" s="5"/>
      <c r="E1459" s="3"/>
      <c r="F1459" s="5"/>
      <c r="G1459" s="5"/>
      <c r="H1459" s="5"/>
      <c r="I1459" s="3"/>
      <c r="J1459" s="3"/>
      <c r="K1459" s="3"/>
      <c r="L1459" s="3"/>
      <c r="M1459" s="3"/>
      <c r="N1459" s="3"/>
      <c r="O1459" s="3"/>
      <c r="P1459" s="3"/>
      <c r="Q1459" s="3"/>
      <c r="R1459" s="3"/>
      <c r="S1459" s="3"/>
      <c r="T1459" s="3"/>
      <c r="U1459" s="3"/>
      <c r="V1459" s="3"/>
      <c r="W1459" s="3"/>
      <c r="X1459" s="3"/>
      <c r="Y1459" s="3"/>
    </row>
    <row r="1460">
      <c r="A1460" s="5"/>
      <c r="B1460" s="5"/>
      <c r="C1460" s="5"/>
      <c r="D1460" s="5"/>
      <c r="E1460" s="3"/>
      <c r="F1460" s="5"/>
      <c r="G1460" s="5"/>
      <c r="H1460" s="5"/>
      <c r="I1460" s="3"/>
      <c r="J1460" s="3"/>
      <c r="K1460" s="3"/>
      <c r="L1460" s="3"/>
      <c r="M1460" s="3"/>
      <c r="N1460" s="3"/>
      <c r="O1460" s="3"/>
      <c r="P1460" s="3"/>
      <c r="Q1460" s="3"/>
      <c r="R1460" s="3"/>
      <c r="S1460" s="3"/>
      <c r="T1460" s="3"/>
      <c r="U1460" s="3"/>
      <c r="V1460" s="3"/>
      <c r="W1460" s="3"/>
      <c r="X1460" s="3"/>
      <c r="Y1460" s="3"/>
    </row>
    <row r="1461">
      <c r="A1461" s="5"/>
      <c r="B1461" s="5"/>
      <c r="C1461" s="5"/>
      <c r="D1461" s="5"/>
      <c r="E1461" s="3"/>
      <c r="F1461" s="5"/>
      <c r="G1461" s="5"/>
      <c r="H1461" s="5"/>
      <c r="I1461" s="3"/>
      <c r="J1461" s="3"/>
      <c r="K1461" s="3"/>
      <c r="L1461" s="3"/>
      <c r="M1461" s="3"/>
      <c r="N1461" s="3"/>
      <c r="O1461" s="3"/>
      <c r="P1461" s="3"/>
      <c r="Q1461" s="3"/>
      <c r="R1461" s="3"/>
      <c r="S1461" s="3"/>
      <c r="T1461" s="3"/>
      <c r="U1461" s="3"/>
      <c r="V1461" s="3"/>
      <c r="W1461" s="3"/>
      <c r="X1461" s="3"/>
      <c r="Y1461" s="3"/>
    </row>
    <row r="1462">
      <c r="A1462" s="5"/>
      <c r="B1462" s="5"/>
      <c r="C1462" s="5"/>
      <c r="D1462" s="5"/>
      <c r="E1462" s="3"/>
      <c r="F1462" s="5"/>
      <c r="G1462" s="5"/>
      <c r="H1462" s="5"/>
      <c r="I1462" s="3"/>
      <c r="J1462" s="3"/>
      <c r="K1462" s="3"/>
      <c r="L1462" s="3"/>
      <c r="M1462" s="3"/>
      <c r="N1462" s="3"/>
      <c r="O1462" s="3"/>
      <c r="P1462" s="3"/>
      <c r="Q1462" s="3"/>
      <c r="R1462" s="3"/>
      <c r="S1462" s="3"/>
      <c r="T1462" s="3"/>
      <c r="U1462" s="3"/>
      <c r="V1462" s="3"/>
      <c r="W1462" s="3"/>
      <c r="X1462" s="3"/>
      <c r="Y1462" s="3"/>
    </row>
    <row r="1463">
      <c r="A1463" s="5"/>
      <c r="B1463" s="5"/>
      <c r="C1463" s="5"/>
      <c r="D1463" s="5"/>
      <c r="E1463" s="3"/>
      <c r="F1463" s="5"/>
      <c r="G1463" s="5"/>
      <c r="H1463" s="5"/>
      <c r="I1463" s="3"/>
      <c r="J1463" s="3"/>
      <c r="K1463" s="3"/>
      <c r="L1463" s="3"/>
      <c r="M1463" s="3"/>
      <c r="N1463" s="3"/>
      <c r="O1463" s="3"/>
      <c r="P1463" s="3"/>
      <c r="Q1463" s="3"/>
      <c r="R1463" s="3"/>
      <c r="S1463" s="3"/>
      <c r="T1463" s="3"/>
      <c r="U1463" s="3"/>
      <c r="V1463" s="3"/>
      <c r="W1463" s="3"/>
      <c r="X1463" s="3"/>
      <c r="Y1463" s="3"/>
    </row>
    <row r="1464">
      <c r="A1464" s="5"/>
      <c r="B1464" s="5"/>
      <c r="C1464" s="5"/>
      <c r="D1464" s="5"/>
      <c r="E1464" s="3"/>
      <c r="F1464" s="5"/>
      <c r="G1464" s="5"/>
      <c r="H1464" s="5"/>
      <c r="I1464" s="3"/>
      <c r="J1464" s="3"/>
      <c r="K1464" s="3"/>
      <c r="L1464" s="3"/>
      <c r="M1464" s="3"/>
      <c r="N1464" s="3"/>
      <c r="O1464" s="3"/>
      <c r="P1464" s="3"/>
      <c r="Q1464" s="3"/>
      <c r="R1464" s="3"/>
      <c r="S1464" s="3"/>
      <c r="T1464" s="3"/>
      <c r="U1464" s="3"/>
      <c r="V1464" s="3"/>
      <c r="W1464" s="3"/>
      <c r="X1464" s="3"/>
      <c r="Y1464" s="3"/>
    </row>
    <row r="1465">
      <c r="A1465" s="5"/>
      <c r="B1465" s="5"/>
      <c r="C1465" s="5"/>
      <c r="D1465" s="5"/>
      <c r="E1465" s="3"/>
      <c r="F1465" s="5"/>
      <c r="G1465" s="5"/>
      <c r="H1465" s="5"/>
      <c r="I1465" s="3"/>
      <c r="J1465" s="3"/>
      <c r="K1465" s="3"/>
      <c r="L1465" s="3"/>
      <c r="M1465" s="3"/>
      <c r="N1465" s="3"/>
      <c r="O1465" s="3"/>
      <c r="P1465" s="3"/>
      <c r="Q1465" s="3"/>
      <c r="R1465" s="3"/>
      <c r="S1465" s="3"/>
      <c r="T1465" s="3"/>
      <c r="U1465" s="3"/>
      <c r="V1465" s="3"/>
      <c r="W1465" s="3"/>
      <c r="X1465" s="3"/>
      <c r="Y1465" s="3"/>
    </row>
    <row r="1466">
      <c r="A1466" s="5"/>
      <c r="B1466" s="5"/>
      <c r="C1466" s="5"/>
      <c r="D1466" s="5"/>
      <c r="E1466" s="3"/>
      <c r="F1466" s="5"/>
      <c r="G1466" s="5"/>
      <c r="H1466" s="5"/>
      <c r="I1466" s="3"/>
      <c r="J1466" s="3"/>
      <c r="K1466" s="3"/>
      <c r="L1466" s="3"/>
      <c r="M1466" s="3"/>
      <c r="N1466" s="3"/>
      <c r="O1466" s="3"/>
      <c r="P1466" s="3"/>
      <c r="Q1466" s="3"/>
      <c r="R1466" s="3"/>
      <c r="S1466" s="3"/>
      <c r="T1466" s="3"/>
      <c r="U1466" s="3"/>
      <c r="V1466" s="3"/>
      <c r="W1466" s="3"/>
      <c r="X1466" s="3"/>
      <c r="Y1466" s="3"/>
    </row>
    <row r="1467">
      <c r="A1467" s="5"/>
      <c r="B1467" s="5"/>
      <c r="C1467" s="5"/>
      <c r="D1467" s="5"/>
      <c r="E1467" s="3"/>
      <c r="F1467" s="5"/>
      <c r="G1467" s="5"/>
      <c r="H1467" s="5"/>
      <c r="I1467" s="3"/>
      <c r="J1467" s="3"/>
      <c r="K1467" s="3"/>
      <c r="L1467" s="3"/>
      <c r="M1467" s="3"/>
      <c r="N1467" s="3"/>
      <c r="O1467" s="3"/>
      <c r="P1467" s="3"/>
      <c r="Q1467" s="3"/>
      <c r="R1467" s="3"/>
      <c r="S1467" s="3"/>
      <c r="T1467" s="3"/>
      <c r="U1467" s="3"/>
      <c r="V1467" s="3"/>
      <c r="W1467" s="3"/>
      <c r="X1467" s="3"/>
      <c r="Y1467" s="3"/>
    </row>
    <row r="1468">
      <c r="A1468" s="5"/>
      <c r="B1468" s="5"/>
      <c r="C1468" s="5"/>
      <c r="D1468" s="5"/>
      <c r="E1468" s="3"/>
      <c r="F1468" s="5"/>
      <c r="G1468" s="5"/>
      <c r="H1468" s="5"/>
      <c r="I1468" s="3"/>
      <c r="J1468" s="3"/>
      <c r="K1468" s="3"/>
      <c r="L1468" s="3"/>
      <c r="M1468" s="3"/>
      <c r="N1468" s="3"/>
      <c r="O1468" s="3"/>
      <c r="P1468" s="3"/>
      <c r="Q1468" s="3"/>
      <c r="R1468" s="3"/>
      <c r="S1468" s="3"/>
      <c r="T1468" s="3"/>
      <c r="U1468" s="3"/>
      <c r="V1468" s="3"/>
      <c r="W1468" s="3"/>
      <c r="X1468" s="3"/>
      <c r="Y1468" s="3"/>
    </row>
    <row r="1469">
      <c r="A1469" s="5"/>
      <c r="B1469" s="5"/>
      <c r="C1469" s="5"/>
      <c r="D1469" s="5"/>
      <c r="E1469" s="3"/>
      <c r="F1469" s="5"/>
      <c r="G1469" s="5"/>
      <c r="H1469" s="5"/>
      <c r="I1469" s="3"/>
      <c r="J1469" s="3"/>
      <c r="K1469" s="3"/>
      <c r="L1469" s="3"/>
      <c r="M1469" s="3"/>
      <c r="N1469" s="3"/>
      <c r="O1469" s="3"/>
      <c r="P1469" s="3"/>
      <c r="Q1469" s="3"/>
      <c r="R1469" s="3"/>
      <c r="S1469" s="3"/>
      <c r="T1469" s="3"/>
      <c r="U1469" s="3"/>
      <c r="V1469" s="3"/>
      <c r="W1469" s="3"/>
      <c r="X1469" s="3"/>
      <c r="Y1469" s="3"/>
    </row>
    <row r="1470">
      <c r="A1470" s="5"/>
      <c r="B1470" s="5"/>
      <c r="C1470" s="5"/>
      <c r="D1470" s="5"/>
      <c r="E1470" s="3"/>
      <c r="F1470" s="5"/>
      <c r="G1470" s="5"/>
      <c r="H1470" s="5"/>
      <c r="I1470" s="3"/>
      <c r="J1470" s="3"/>
      <c r="K1470" s="3"/>
      <c r="L1470" s="3"/>
      <c r="M1470" s="3"/>
      <c r="N1470" s="3"/>
      <c r="O1470" s="3"/>
      <c r="P1470" s="3"/>
      <c r="Q1470" s="3"/>
      <c r="R1470" s="3"/>
      <c r="S1470" s="3"/>
      <c r="T1470" s="3"/>
      <c r="U1470" s="3"/>
      <c r="V1470" s="3"/>
      <c r="W1470" s="3"/>
      <c r="X1470" s="3"/>
      <c r="Y1470" s="3"/>
    </row>
    <row r="1471">
      <c r="A1471" s="5"/>
      <c r="B1471" s="5"/>
      <c r="C1471" s="5"/>
      <c r="D1471" s="5"/>
      <c r="E1471" s="3"/>
      <c r="F1471" s="5"/>
      <c r="G1471" s="5"/>
      <c r="H1471" s="5"/>
      <c r="I1471" s="3"/>
      <c r="J1471" s="3"/>
      <c r="K1471" s="3"/>
      <c r="L1471" s="3"/>
      <c r="M1471" s="3"/>
      <c r="N1471" s="3"/>
      <c r="O1471" s="3"/>
      <c r="P1471" s="3"/>
      <c r="Q1471" s="3"/>
      <c r="R1471" s="3"/>
      <c r="S1471" s="3"/>
      <c r="T1471" s="3"/>
      <c r="U1471" s="3"/>
      <c r="V1471" s="3"/>
      <c r="W1471" s="3"/>
      <c r="X1471" s="3"/>
      <c r="Y1471" s="3"/>
    </row>
    <row r="1472">
      <c r="A1472" s="5"/>
      <c r="B1472" s="5"/>
      <c r="C1472" s="5"/>
      <c r="D1472" s="5"/>
      <c r="E1472" s="3"/>
      <c r="F1472" s="5"/>
      <c r="G1472" s="5"/>
      <c r="H1472" s="5"/>
      <c r="I1472" s="3"/>
      <c r="J1472" s="3"/>
      <c r="K1472" s="3"/>
      <c r="L1472" s="3"/>
      <c r="M1472" s="3"/>
      <c r="N1472" s="3"/>
      <c r="O1472" s="3"/>
      <c r="P1472" s="3"/>
      <c r="Q1472" s="3"/>
      <c r="R1472" s="3"/>
      <c r="S1472" s="3"/>
      <c r="T1472" s="3"/>
      <c r="U1472" s="3"/>
      <c r="V1472" s="3"/>
      <c r="W1472" s="3"/>
      <c r="X1472" s="3"/>
      <c r="Y1472" s="3"/>
    </row>
    <row r="1473">
      <c r="A1473" s="5"/>
      <c r="B1473" s="5"/>
      <c r="C1473" s="5"/>
      <c r="D1473" s="5"/>
      <c r="E1473" s="3"/>
      <c r="F1473" s="5"/>
      <c r="G1473" s="5"/>
      <c r="H1473" s="5"/>
      <c r="I1473" s="3"/>
      <c r="J1473" s="3"/>
      <c r="K1473" s="3"/>
      <c r="L1473" s="3"/>
      <c r="M1473" s="3"/>
      <c r="N1473" s="3"/>
      <c r="O1473" s="3"/>
      <c r="P1473" s="3"/>
      <c r="Q1473" s="3"/>
      <c r="R1473" s="3"/>
      <c r="S1473" s="3"/>
      <c r="T1473" s="3"/>
      <c r="U1473" s="3"/>
      <c r="V1473" s="3"/>
      <c r="W1473" s="3"/>
      <c r="X1473" s="3"/>
      <c r="Y1473" s="3"/>
    </row>
    <row r="1474">
      <c r="A1474" s="5"/>
      <c r="B1474" s="5"/>
      <c r="C1474" s="5"/>
      <c r="D1474" s="5"/>
      <c r="E1474" s="3"/>
      <c r="F1474" s="5"/>
      <c r="G1474" s="5"/>
      <c r="H1474" s="5"/>
      <c r="I1474" s="3"/>
      <c r="J1474" s="3"/>
      <c r="K1474" s="3"/>
      <c r="L1474" s="3"/>
      <c r="M1474" s="3"/>
      <c r="N1474" s="3"/>
      <c r="O1474" s="3"/>
      <c r="P1474" s="3"/>
      <c r="Q1474" s="3"/>
      <c r="R1474" s="3"/>
      <c r="S1474" s="3"/>
      <c r="T1474" s="3"/>
      <c r="U1474" s="3"/>
      <c r="V1474" s="3"/>
      <c r="W1474" s="3"/>
      <c r="X1474" s="3"/>
      <c r="Y1474" s="3"/>
    </row>
    <row r="1475">
      <c r="A1475" s="5"/>
      <c r="B1475" s="5"/>
      <c r="C1475" s="5"/>
      <c r="D1475" s="5"/>
      <c r="E1475" s="3"/>
      <c r="F1475" s="5"/>
      <c r="G1475" s="5"/>
      <c r="H1475" s="5"/>
      <c r="I1475" s="3"/>
      <c r="J1475" s="3"/>
      <c r="K1475" s="3"/>
      <c r="L1475" s="3"/>
      <c r="M1475" s="3"/>
      <c r="N1475" s="3"/>
      <c r="O1475" s="3"/>
      <c r="P1475" s="3"/>
      <c r="Q1475" s="3"/>
      <c r="R1475" s="3"/>
      <c r="S1475" s="3"/>
      <c r="T1475" s="3"/>
      <c r="U1475" s="3"/>
      <c r="V1475" s="3"/>
      <c r="W1475" s="3"/>
      <c r="X1475" s="3"/>
      <c r="Y1475" s="3"/>
    </row>
    <row r="1476">
      <c r="A1476" s="5"/>
      <c r="B1476" s="5"/>
      <c r="C1476" s="5"/>
      <c r="D1476" s="5"/>
      <c r="E1476" s="3"/>
      <c r="F1476" s="5"/>
      <c r="G1476" s="5"/>
      <c r="H1476" s="5"/>
      <c r="I1476" s="3"/>
      <c r="J1476" s="3"/>
      <c r="K1476" s="3"/>
      <c r="L1476" s="3"/>
      <c r="M1476" s="3"/>
      <c r="N1476" s="3"/>
      <c r="O1476" s="3"/>
      <c r="P1476" s="3"/>
      <c r="Q1476" s="3"/>
      <c r="R1476" s="3"/>
      <c r="S1476" s="3"/>
      <c r="T1476" s="3"/>
      <c r="U1476" s="3"/>
      <c r="V1476" s="3"/>
      <c r="W1476" s="3"/>
      <c r="X1476" s="3"/>
      <c r="Y1476" s="3"/>
    </row>
    <row r="1477">
      <c r="A1477" s="5"/>
      <c r="B1477" s="5"/>
      <c r="C1477" s="5"/>
      <c r="D1477" s="5"/>
      <c r="E1477" s="3"/>
      <c r="F1477" s="5"/>
      <c r="G1477" s="5"/>
      <c r="H1477" s="5"/>
      <c r="I1477" s="3"/>
      <c r="J1477" s="3"/>
      <c r="K1477" s="3"/>
      <c r="L1477" s="3"/>
      <c r="M1477" s="3"/>
      <c r="N1477" s="3"/>
      <c r="O1477" s="3"/>
      <c r="P1477" s="3"/>
      <c r="Q1477" s="3"/>
      <c r="R1477" s="3"/>
      <c r="S1477" s="3"/>
      <c r="T1477" s="3"/>
      <c r="U1477" s="3"/>
      <c r="V1477" s="3"/>
      <c r="W1477" s="3"/>
      <c r="X1477" s="3"/>
      <c r="Y1477" s="3"/>
    </row>
    <row r="1478">
      <c r="A1478" s="5"/>
      <c r="B1478" s="5"/>
      <c r="C1478" s="5"/>
      <c r="D1478" s="5"/>
      <c r="E1478" s="3"/>
      <c r="F1478" s="5"/>
      <c r="G1478" s="5"/>
      <c r="H1478" s="5"/>
      <c r="I1478" s="3"/>
      <c r="J1478" s="3"/>
      <c r="K1478" s="3"/>
      <c r="L1478" s="3"/>
      <c r="M1478" s="3"/>
      <c r="N1478" s="3"/>
      <c r="O1478" s="3"/>
      <c r="P1478" s="3"/>
      <c r="Q1478" s="3"/>
      <c r="R1478" s="3"/>
      <c r="S1478" s="3"/>
      <c r="T1478" s="3"/>
      <c r="U1478" s="3"/>
      <c r="V1478" s="3"/>
      <c r="W1478" s="3"/>
      <c r="X1478" s="3"/>
      <c r="Y1478" s="3"/>
    </row>
    <row r="1479">
      <c r="A1479" s="5"/>
      <c r="B1479" s="5"/>
      <c r="C1479" s="5"/>
      <c r="D1479" s="5"/>
      <c r="E1479" s="3"/>
      <c r="F1479" s="5"/>
      <c r="G1479" s="5"/>
      <c r="H1479" s="5"/>
      <c r="I1479" s="3"/>
      <c r="J1479" s="3"/>
      <c r="K1479" s="3"/>
      <c r="L1479" s="3"/>
      <c r="M1479" s="3"/>
      <c r="N1479" s="3"/>
      <c r="O1479" s="3"/>
      <c r="P1479" s="3"/>
      <c r="Q1479" s="3"/>
      <c r="R1479" s="3"/>
      <c r="S1479" s="3"/>
      <c r="T1479" s="3"/>
      <c r="U1479" s="3"/>
      <c r="V1479" s="3"/>
      <c r="W1479" s="3"/>
      <c r="X1479" s="3"/>
      <c r="Y1479" s="3"/>
    </row>
    <row r="1480">
      <c r="A1480" s="5"/>
      <c r="B1480" s="5"/>
      <c r="C1480" s="5"/>
      <c r="D1480" s="5"/>
      <c r="E1480" s="3"/>
      <c r="F1480" s="5"/>
      <c r="G1480" s="5"/>
      <c r="H1480" s="5"/>
      <c r="I1480" s="3"/>
      <c r="J1480" s="3"/>
      <c r="K1480" s="3"/>
      <c r="L1480" s="3"/>
      <c r="M1480" s="3"/>
      <c r="N1480" s="3"/>
      <c r="O1480" s="3"/>
      <c r="P1480" s="3"/>
      <c r="Q1480" s="3"/>
      <c r="R1480" s="3"/>
      <c r="S1480" s="3"/>
      <c r="T1480" s="3"/>
      <c r="U1480" s="3"/>
      <c r="V1480" s="3"/>
      <c r="W1480" s="3"/>
      <c r="X1480" s="3"/>
      <c r="Y1480" s="3"/>
    </row>
    <row r="1481">
      <c r="A1481" s="5"/>
      <c r="B1481" s="5"/>
      <c r="C1481" s="5"/>
      <c r="D1481" s="5"/>
      <c r="E1481" s="3"/>
      <c r="F1481" s="5"/>
      <c r="G1481" s="5"/>
      <c r="H1481" s="5"/>
      <c r="I1481" s="3"/>
      <c r="J1481" s="3"/>
      <c r="K1481" s="3"/>
      <c r="L1481" s="3"/>
      <c r="M1481" s="3"/>
      <c r="N1481" s="3"/>
      <c r="O1481" s="3"/>
      <c r="P1481" s="3"/>
      <c r="Q1481" s="3"/>
      <c r="R1481" s="3"/>
      <c r="S1481" s="3"/>
      <c r="T1481" s="3"/>
      <c r="U1481" s="3"/>
      <c r="V1481" s="3"/>
      <c r="W1481" s="3"/>
      <c r="X1481" s="3"/>
      <c r="Y1481" s="3"/>
    </row>
    <row r="1482">
      <c r="A1482" s="5"/>
      <c r="B1482" s="5"/>
      <c r="C1482" s="5"/>
      <c r="D1482" s="5"/>
      <c r="E1482" s="3"/>
      <c r="F1482" s="5"/>
      <c r="G1482" s="5"/>
      <c r="H1482" s="5"/>
      <c r="I1482" s="3"/>
      <c r="J1482" s="3"/>
      <c r="K1482" s="3"/>
      <c r="L1482" s="3"/>
      <c r="M1482" s="3"/>
      <c r="N1482" s="3"/>
      <c r="O1482" s="3"/>
      <c r="P1482" s="3"/>
      <c r="Q1482" s="3"/>
      <c r="R1482" s="3"/>
      <c r="S1482" s="3"/>
      <c r="T1482" s="3"/>
      <c r="U1482" s="3"/>
      <c r="V1482" s="3"/>
      <c r="W1482" s="3"/>
      <c r="X1482" s="3"/>
      <c r="Y1482" s="3"/>
    </row>
    <row r="1483">
      <c r="A1483" s="5"/>
      <c r="B1483" s="5"/>
      <c r="C1483" s="5"/>
      <c r="D1483" s="5"/>
      <c r="E1483" s="3"/>
      <c r="F1483" s="5"/>
      <c r="G1483" s="5"/>
      <c r="H1483" s="5"/>
      <c r="I1483" s="3"/>
      <c r="J1483" s="3"/>
      <c r="K1483" s="3"/>
      <c r="L1483" s="3"/>
      <c r="M1483" s="3"/>
      <c r="N1483" s="3"/>
      <c r="O1483" s="3"/>
      <c r="P1483" s="3"/>
      <c r="Q1483" s="3"/>
      <c r="R1483" s="3"/>
      <c r="S1483" s="3"/>
      <c r="T1483" s="3"/>
      <c r="U1483" s="3"/>
      <c r="V1483" s="3"/>
      <c r="W1483" s="3"/>
      <c r="X1483" s="3"/>
      <c r="Y1483" s="3"/>
    </row>
    <row r="1484">
      <c r="A1484" s="5"/>
      <c r="B1484" s="5"/>
      <c r="C1484" s="5"/>
      <c r="D1484" s="5"/>
      <c r="E1484" s="3"/>
      <c r="F1484" s="5"/>
      <c r="G1484" s="5"/>
      <c r="H1484" s="5"/>
      <c r="I1484" s="3"/>
      <c r="J1484" s="3"/>
      <c r="K1484" s="3"/>
      <c r="L1484" s="3"/>
      <c r="M1484" s="3"/>
      <c r="N1484" s="3"/>
      <c r="O1484" s="3"/>
      <c r="P1484" s="3"/>
      <c r="Q1484" s="3"/>
      <c r="R1484" s="3"/>
      <c r="S1484" s="3"/>
      <c r="T1484" s="3"/>
      <c r="U1484" s="3"/>
      <c r="V1484" s="3"/>
      <c r="W1484" s="3"/>
      <c r="X1484" s="3"/>
      <c r="Y1484" s="3"/>
    </row>
    <row r="1485">
      <c r="A1485" s="5"/>
      <c r="B1485" s="5"/>
      <c r="C1485" s="5"/>
      <c r="D1485" s="5"/>
      <c r="E1485" s="3"/>
      <c r="F1485" s="5"/>
      <c r="G1485" s="5"/>
      <c r="H1485" s="5"/>
      <c r="I1485" s="3"/>
      <c r="J1485" s="3"/>
      <c r="K1485" s="3"/>
      <c r="L1485" s="3"/>
      <c r="M1485" s="3"/>
      <c r="N1485" s="3"/>
      <c r="O1485" s="3"/>
      <c r="P1485" s="3"/>
      <c r="Q1485" s="3"/>
      <c r="R1485" s="3"/>
      <c r="S1485" s="3"/>
      <c r="T1485" s="3"/>
      <c r="U1485" s="3"/>
      <c r="V1485" s="3"/>
      <c r="W1485" s="3"/>
      <c r="X1485" s="3"/>
      <c r="Y1485" s="3"/>
    </row>
    <row r="1486">
      <c r="A1486" s="5"/>
      <c r="B1486" s="5"/>
      <c r="C1486" s="5"/>
      <c r="D1486" s="5"/>
      <c r="E1486" s="3"/>
      <c r="F1486" s="5"/>
      <c r="G1486" s="5"/>
      <c r="H1486" s="5"/>
      <c r="I1486" s="3"/>
      <c r="J1486" s="3"/>
      <c r="K1486" s="3"/>
      <c r="L1486" s="3"/>
      <c r="M1486" s="3"/>
      <c r="N1486" s="3"/>
      <c r="O1486" s="3"/>
      <c r="P1486" s="3"/>
      <c r="Q1486" s="3"/>
      <c r="R1486" s="3"/>
      <c r="S1486" s="3"/>
      <c r="T1486" s="3"/>
      <c r="U1486" s="3"/>
      <c r="V1486" s="3"/>
      <c r="W1486" s="3"/>
      <c r="X1486" s="3"/>
      <c r="Y1486" s="3"/>
    </row>
    <row r="1487">
      <c r="A1487" s="5"/>
      <c r="B1487" s="5"/>
      <c r="C1487" s="5"/>
      <c r="D1487" s="5"/>
      <c r="E1487" s="3"/>
      <c r="F1487" s="5"/>
      <c r="G1487" s="5"/>
      <c r="H1487" s="5"/>
      <c r="I1487" s="3"/>
      <c r="J1487" s="3"/>
      <c r="K1487" s="3"/>
      <c r="L1487" s="3"/>
      <c r="M1487" s="3"/>
      <c r="N1487" s="3"/>
      <c r="O1487" s="3"/>
      <c r="P1487" s="3"/>
      <c r="Q1487" s="3"/>
      <c r="R1487" s="3"/>
      <c r="S1487" s="3"/>
      <c r="T1487" s="3"/>
      <c r="U1487" s="3"/>
      <c r="V1487" s="3"/>
      <c r="W1487" s="3"/>
      <c r="X1487" s="3"/>
      <c r="Y1487" s="3"/>
    </row>
    <row r="1488">
      <c r="A1488" s="5"/>
      <c r="B1488" s="5"/>
      <c r="C1488" s="5"/>
      <c r="D1488" s="5"/>
      <c r="E1488" s="3"/>
      <c r="F1488" s="5"/>
      <c r="G1488" s="5"/>
      <c r="H1488" s="5"/>
      <c r="I1488" s="3"/>
      <c r="J1488" s="3"/>
      <c r="K1488" s="3"/>
      <c r="L1488" s="3"/>
      <c r="M1488" s="3"/>
      <c r="N1488" s="3"/>
      <c r="O1488" s="3"/>
      <c r="P1488" s="3"/>
      <c r="Q1488" s="3"/>
      <c r="R1488" s="3"/>
      <c r="S1488" s="3"/>
      <c r="T1488" s="3"/>
      <c r="U1488" s="3"/>
      <c r="V1488" s="3"/>
      <c r="W1488" s="3"/>
      <c r="X1488" s="3"/>
      <c r="Y1488" s="3"/>
    </row>
    <row r="1489">
      <c r="A1489" s="5"/>
      <c r="B1489" s="5"/>
      <c r="C1489" s="5"/>
      <c r="D1489" s="5"/>
      <c r="E1489" s="3"/>
      <c r="F1489" s="5"/>
      <c r="G1489" s="5"/>
      <c r="H1489" s="5"/>
      <c r="I1489" s="3"/>
      <c r="J1489" s="3"/>
      <c r="K1489" s="3"/>
      <c r="L1489" s="3"/>
      <c r="M1489" s="3"/>
      <c r="N1489" s="3"/>
      <c r="O1489" s="3"/>
      <c r="P1489" s="3"/>
      <c r="Q1489" s="3"/>
      <c r="R1489" s="3"/>
      <c r="S1489" s="3"/>
      <c r="T1489" s="3"/>
      <c r="U1489" s="3"/>
      <c r="V1489" s="3"/>
      <c r="W1489" s="3"/>
      <c r="X1489" s="3"/>
      <c r="Y1489" s="3"/>
    </row>
    <row r="1490">
      <c r="A1490" s="5"/>
      <c r="B1490" s="5"/>
      <c r="C1490" s="5"/>
      <c r="D1490" s="5"/>
      <c r="E1490" s="3"/>
      <c r="F1490" s="5"/>
      <c r="G1490" s="5"/>
      <c r="H1490" s="5"/>
      <c r="I1490" s="3"/>
      <c r="J1490" s="3"/>
      <c r="K1490" s="3"/>
      <c r="L1490" s="3"/>
      <c r="M1490" s="3"/>
      <c r="N1490" s="3"/>
      <c r="O1490" s="3"/>
      <c r="P1490" s="3"/>
      <c r="Q1490" s="3"/>
      <c r="R1490" s="3"/>
      <c r="S1490" s="3"/>
      <c r="T1490" s="3"/>
      <c r="U1490" s="3"/>
      <c r="V1490" s="3"/>
      <c r="W1490" s="3"/>
      <c r="X1490" s="3"/>
      <c r="Y1490" s="3"/>
    </row>
    <row r="1491">
      <c r="A1491" s="5"/>
      <c r="B1491" s="5"/>
      <c r="C1491" s="5"/>
      <c r="D1491" s="5"/>
      <c r="E1491" s="3"/>
      <c r="F1491" s="5"/>
      <c r="G1491" s="5"/>
      <c r="H1491" s="5"/>
      <c r="I1491" s="3"/>
      <c r="J1491" s="3"/>
      <c r="K1491" s="3"/>
      <c r="L1491" s="3"/>
      <c r="M1491" s="3"/>
      <c r="N1491" s="3"/>
      <c r="O1491" s="3"/>
      <c r="P1491" s="3"/>
      <c r="Q1491" s="3"/>
      <c r="R1491" s="3"/>
      <c r="S1491" s="3"/>
      <c r="T1491" s="3"/>
      <c r="U1491" s="3"/>
      <c r="V1491" s="3"/>
      <c r="W1491" s="3"/>
      <c r="X1491" s="3"/>
      <c r="Y1491" s="3"/>
    </row>
    <row r="1492">
      <c r="A1492" s="5"/>
      <c r="B1492" s="5"/>
      <c r="C1492" s="5"/>
      <c r="D1492" s="5"/>
      <c r="E1492" s="3"/>
      <c r="F1492" s="5"/>
      <c r="G1492" s="5"/>
      <c r="H1492" s="5"/>
      <c r="I1492" s="3"/>
      <c r="J1492" s="3"/>
      <c r="K1492" s="3"/>
      <c r="L1492" s="3"/>
      <c r="M1492" s="3"/>
      <c r="N1492" s="3"/>
      <c r="O1492" s="3"/>
      <c r="P1492" s="3"/>
      <c r="Q1492" s="3"/>
      <c r="R1492" s="3"/>
      <c r="S1492" s="3"/>
      <c r="T1492" s="3"/>
      <c r="U1492" s="3"/>
      <c r="V1492" s="3"/>
      <c r="W1492" s="3"/>
      <c r="X1492" s="3"/>
      <c r="Y1492" s="3"/>
    </row>
    <row r="1493">
      <c r="A1493" s="5"/>
      <c r="B1493" s="5"/>
      <c r="C1493" s="5"/>
      <c r="D1493" s="5"/>
      <c r="E1493" s="3"/>
      <c r="F1493" s="5"/>
      <c r="G1493" s="5"/>
      <c r="H1493" s="5"/>
      <c r="I1493" s="3"/>
      <c r="J1493" s="3"/>
      <c r="K1493" s="3"/>
      <c r="L1493" s="3"/>
      <c r="M1493" s="3"/>
      <c r="N1493" s="3"/>
      <c r="O1493" s="3"/>
      <c r="P1493" s="3"/>
      <c r="Q1493" s="3"/>
      <c r="R1493" s="3"/>
      <c r="S1493" s="3"/>
      <c r="T1493" s="3"/>
      <c r="U1493" s="3"/>
      <c r="V1493" s="3"/>
      <c r="W1493" s="3"/>
      <c r="X1493" s="3"/>
      <c r="Y1493" s="3"/>
    </row>
    <row r="1494">
      <c r="A1494" s="5"/>
      <c r="B1494" s="5"/>
      <c r="C1494" s="5"/>
      <c r="D1494" s="5"/>
      <c r="E1494" s="3"/>
      <c r="F1494" s="5"/>
      <c r="G1494" s="5"/>
      <c r="H1494" s="5"/>
      <c r="I1494" s="3"/>
      <c r="J1494" s="3"/>
      <c r="K1494" s="3"/>
      <c r="L1494" s="3"/>
      <c r="M1494" s="3"/>
      <c r="N1494" s="3"/>
      <c r="O1494" s="3"/>
      <c r="P1494" s="3"/>
      <c r="Q1494" s="3"/>
      <c r="R1494" s="3"/>
      <c r="S1494" s="3"/>
      <c r="T1494" s="3"/>
      <c r="U1494" s="3"/>
      <c r="V1494" s="3"/>
      <c r="W1494" s="3"/>
      <c r="X1494" s="3"/>
      <c r="Y1494" s="3"/>
    </row>
    <row r="1495">
      <c r="A1495" s="5"/>
      <c r="B1495" s="5"/>
      <c r="C1495" s="5"/>
      <c r="D1495" s="5"/>
      <c r="E1495" s="3"/>
      <c r="F1495" s="5"/>
      <c r="G1495" s="5"/>
      <c r="H1495" s="5"/>
      <c r="I1495" s="3"/>
      <c r="J1495" s="3"/>
      <c r="K1495" s="3"/>
      <c r="L1495" s="3"/>
      <c r="M1495" s="3"/>
      <c r="N1495" s="3"/>
      <c r="O1495" s="3"/>
      <c r="P1495" s="3"/>
      <c r="Q1495" s="3"/>
      <c r="R1495" s="3"/>
      <c r="S1495" s="3"/>
      <c r="T1495" s="3"/>
      <c r="U1495" s="3"/>
      <c r="V1495" s="3"/>
      <c r="W1495" s="3"/>
      <c r="X1495" s="3"/>
      <c r="Y1495" s="3"/>
    </row>
    <row r="1496">
      <c r="A1496" s="5"/>
      <c r="B1496" s="5"/>
      <c r="C1496" s="5"/>
      <c r="D1496" s="5"/>
      <c r="E1496" s="3"/>
      <c r="F1496" s="5"/>
      <c r="G1496" s="5"/>
      <c r="H1496" s="5"/>
      <c r="I1496" s="3"/>
      <c r="J1496" s="3"/>
      <c r="K1496" s="3"/>
      <c r="L1496" s="3"/>
      <c r="M1496" s="3"/>
      <c r="N1496" s="3"/>
      <c r="O1496" s="3"/>
      <c r="P1496" s="3"/>
      <c r="Q1496" s="3"/>
      <c r="R1496" s="3"/>
      <c r="S1496" s="3"/>
      <c r="T1496" s="3"/>
      <c r="U1496" s="3"/>
      <c r="V1496" s="3"/>
      <c r="W1496" s="3"/>
      <c r="X1496" s="3"/>
      <c r="Y1496" s="3"/>
    </row>
    <row r="1497">
      <c r="A1497" s="5"/>
      <c r="B1497" s="5"/>
      <c r="C1497" s="5"/>
      <c r="D1497" s="5"/>
      <c r="E1497" s="3"/>
      <c r="F1497" s="5"/>
      <c r="G1497" s="5"/>
      <c r="H1497" s="5"/>
      <c r="I1497" s="3"/>
      <c r="J1497" s="3"/>
      <c r="K1497" s="3"/>
      <c r="L1497" s="3"/>
      <c r="M1497" s="3"/>
      <c r="N1497" s="3"/>
      <c r="O1497" s="3"/>
      <c r="P1497" s="3"/>
      <c r="Q1497" s="3"/>
      <c r="R1497" s="3"/>
      <c r="S1497" s="3"/>
      <c r="T1497" s="3"/>
      <c r="U1497" s="3"/>
      <c r="V1497" s="3"/>
      <c r="W1497" s="3"/>
      <c r="X1497" s="3"/>
      <c r="Y1497" s="3"/>
    </row>
    <row r="1498">
      <c r="A1498" s="5"/>
      <c r="B1498" s="5"/>
      <c r="C1498" s="5"/>
      <c r="D1498" s="5"/>
      <c r="E1498" s="3"/>
      <c r="F1498" s="5"/>
      <c r="G1498" s="5"/>
      <c r="H1498" s="5"/>
      <c r="I1498" s="3"/>
      <c r="J1498" s="3"/>
      <c r="K1498" s="3"/>
      <c r="L1498" s="3"/>
      <c r="M1498" s="3"/>
      <c r="N1498" s="3"/>
      <c r="O1498" s="3"/>
      <c r="P1498" s="3"/>
      <c r="Q1498" s="3"/>
      <c r="R1498" s="3"/>
      <c r="S1498" s="3"/>
      <c r="T1498" s="3"/>
      <c r="U1498" s="3"/>
      <c r="V1498" s="3"/>
      <c r="W1498" s="3"/>
      <c r="X1498" s="3"/>
      <c r="Y1498" s="3"/>
    </row>
    <row r="1499">
      <c r="A1499" s="5"/>
      <c r="B1499" s="5"/>
      <c r="C1499" s="5"/>
      <c r="D1499" s="5"/>
      <c r="E1499" s="3"/>
      <c r="F1499" s="5"/>
      <c r="G1499" s="5"/>
      <c r="H1499" s="5"/>
      <c r="I1499" s="3"/>
      <c r="J1499" s="3"/>
      <c r="K1499" s="3"/>
      <c r="L1499" s="3"/>
      <c r="M1499" s="3"/>
      <c r="N1499" s="3"/>
      <c r="O1499" s="3"/>
      <c r="P1499" s="3"/>
      <c r="Q1499" s="3"/>
      <c r="R1499" s="3"/>
      <c r="S1499" s="3"/>
      <c r="T1499" s="3"/>
      <c r="U1499" s="3"/>
      <c r="V1499" s="3"/>
      <c r="W1499" s="3"/>
      <c r="X1499" s="3"/>
      <c r="Y1499" s="3"/>
    </row>
    <row r="1500">
      <c r="A1500" s="5"/>
      <c r="B1500" s="5"/>
      <c r="C1500" s="5"/>
      <c r="D1500" s="5"/>
      <c r="E1500" s="3"/>
      <c r="F1500" s="5"/>
      <c r="G1500" s="5"/>
      <c r="H1500" s="5"/>
      <c r="I1500" s="3"/>
      <c r="J1500" s="3"/>
      <c r="K1500" s="3"/>
      <c r="L1500" s="3"/>
      <c r="M1500" s="3"/>
      <c r="N1500" s="3"/>
      <c r="O1500" s="3"/>
      <c r="P1500" s="3"/>
      <c r="Q1500" s="3"/>
      <c r="R1500" s="3"/>
      <c r="S1500" s="3"/>
      <c r="T1500" s="3"/>
      <c r="U1500" s="3"/>
      <c r="V1500" s="3"/>
      <c r="W1500" s="3"/>
      <c r="X1500" s="3"/>
      <c r="Y1500" s="3"/>
    </row>
    <row r="1501">
      <c r="A1501" s="5"/>
      <c r="B1501" s="5"/>
      <c r="C1501" s="5"/>
      <c r="D1501" s="5"/>
      <c r="E1501" s="3"/>
      <c r="F1501" s="5"/>
      <c r="G1501" s="5"/>
      <c r="H1501" s="5"/>
      <c r="I1501" s="3"/>
      <c r="J1501" s="3"/>
      <c r="K1501" s="3"/>
      <c r="L1501" s="3"/>
      <c r="M1501" s="3"/>
      <c r="N1501" s="3"/>
      <c r="O1501" s="3"/>
      <c r="P1501" s="3"/>
      <c r="Q1501" s="3"/>
      <c r="R1501" s="3"/>
      <c r="S1501" s="3"/>
      <c r="T1501" s="3"/>
      <c r="U1501" s="3"/>
      <c r="V1501" s="3"/>
      <c r="W1501" s="3"/>
      <c r="X1501" s="3"/>
      <c r="Y1501" s="3"/>
    </row>
    <row r="1502">
      <c r="A1502" s="5"/>
      <c r="B1502" s="5"/>
      <c r="C1502" s="5"/>
      <c r="D1502" s="5"/>
      <c r="E1502" s="3"/>
      <c r="F1502" s="5"/>
      <c r="G1502" s="5"/>
      <c r="H1502" s="5"/>
      <c r="I1502" s="3"/>
      <c r="J1502" s="3"/>
      <c r="K1502" s="3"/>
      <c r="L1502" s="3"/>
      <c r="M1502" s="3"/>
      <c r="N1502" s="3"/>
      <c r="O1502" s="3"/>
      <c r="P1502" s="3"/>
      <c r="Q1502" s="3"/>
      <c r="R1502" s="3"/>
      <c r="S1502" s="3"/>
      <c r="T1502" s="3"/>
      <c r="U1502" s="3"/>
      <c r="V1502" s="3"/>
      <c r="W1502" s="3"/>
      <c r="X1502" s="3"/>
      <c r="Y1502" s="3"/>
    </row>
    <row r="1503">
      <c r="A1503" s="5"/>
      <c r="B1503" s="5"/>
      <c r="C1503" s="5"/>
      <c r="D1503" s="5"/>
      <c r="E1503" s="3"/>
      <c r="F1503" s="5"/>
      <c r="G1503" s="5"/>
      <c r="H1503" s="5"/>
      <c r="I1503" s="3"/>
      <c r="J1503" s="3"/>
      <c r="K1503" s="3"/>
      <c r="L1503" s="3"/>
      <c r="M1503" s="3"/>
      <c r="N1503" s="3"/>
      <c r="O1503" s="3"/>
      <c r="P1503" s="3"/>
      <c r="Q1503" s="3"/>
      <c r="R1503" s="3"/>
      <c r="S1503" s="3"/>
      <c r="T1503" s="3"/>
      <c r="U1503" s="3"/>
      <c r="V1503" s="3"/>
      <c r="W1503" s="3"/>
      <c r="X1503" s="3"/>
      <c r="Y1503" s="3"/>
    </row>
    <row r="1504">
      <c r="A1504" s="5"/>
      <c r="B1504" s="5"/>
      <c r="C1504" s="5"/>
      <c r="D1504" s="5"/>
      <c r="E1504" s="3"/>
      <c r="F1504" s="5"/>
      <c r="G1504" s="5"/>
      <c r="H1504" s="5"/>
      <c r="I1504" s="3"/>
      <c r="J1504" s="3"/>
      <c r="K1504" s="3"/>
      <c r="L1504" s="3"/>
      <c r="M1504" s="3"/>
      <c r="N1504" s="3"/>
      <c r="O1504" s="3"/>
      <c r="P1504" s="3"/>
      <c r="Q1504" s="3"/>
      <c r="R1504" s="3"/>
      <c r="S1504" s="3"/>
      <c r="T1504" s="3"/>
      <c r="U1504" s="3"/>
      <c r="V1504" s="3"/>
      <c r="W1504" s="3"/>
      <c r="X1504" s="3"/>
      <c r="Y1504" s="3"/>
    </row>
    <row r="1505">
      <c r="A1505" s="5"/>
      <c r="B1505" s="5"/>
      <c r="C1505" s="5"/>
      <c r="D1505" s="5"/>
      <c r="E1505" s="3"/>
      <c r="F1505" s="5"/>
      <c r="G1505" s="5"/>
      <c r="H1505" s="5"/>
      <c r="I1505" s="3"/>
      <c r="J1505" s="3"/>
      <c r="K1505" s="3"/>
      <c r="L1505" s="3"/>
      <c r="M1505" s="3"/>
      <c r="N1505" s="3"/>
      <c r="O1505" s="3"/>
      <c r="P1505" s="3"/>
      <c r="Q1505" s="3"/>
      <c r="R1505" s="3"/>
      <c r="S1505" s="3"/>
      <c r="T1505" s="3"/>
      <c r="U1505" s="3"/>
      <c r="V1505" s="3"/>
      <c r="W1505" s="3"/>
      <c r="X1505" s="3"/>
      <c r="Y1505" s="3"/>
    </row>
    <row r="1506">
      <c r="A1506" s="5"/>
      <c r="B1506" s="5"/>
      <c r="C1506" s="5"/>
      <c r="D1506" s="5"/>
      <c r="E1506" s="3"/>
      <c r="F1506" s="5"/>
      <c r="G1506" s="5"/>
      <c r="H1506" s="5"/>
      <c r="I1506" s="3"/>
      <c r="J1506" s="3"/>
      <c r="K1506" s="3"/>
      <c r="L1506" s="3"/>
      <c r="M1506" s="3"/>
      <c r="N1506" s="3"/>
      <c r="O1506" s="3"/>
      <c r="P1506" s="3"/>
      <c r="Q1506" s="3"/>
      <c r="R1506" s="3"/>
      <c r="S1506" s="3"/>
      <c r="T1506" s="3"/>
      <c r="U1506" s="3"/>
      <c r="V1506" s="3"/>
      <c r="W1506" s="3"/>
      <c r="X1506" s="3"/>
      <c r="Y1506" s="3"/>
    </row>
    <row r="1507">
      <c r="A1507" s="5"/>
      <c r="B1507" s="5"/>
      <c r="C1507" s="5"/>
      <c r="D1507" s="5"/>
      <c r="E1507" s="3"/>
      <c r="F1507" s="5"/>
      <c r="G1507" s="5"/>
      <c r="H1507" s="5"/>
      <c r="I1507" s="3"/>
      <c r="J1507" s="3"/>
      <c r="K1507" s="3"/>
      <c r="L1507" s="3"/>
      <c r="M1507" s="3"/>
      <c r="N1507" s="3"/>
      <c r="O1507" s="3"/>
      <c r="P1507" s="3"/>
      <c r="Q1507" s="3"/>
      <c r="R1507" s="3"/>
      <c r="S1507" s="3"/>
      <c r="T1507" s="3"/>
      <c r="U1507" s="3"/>
      <c r="V1507" s="3"/>
      <c r="W1507" s="3"/>
      <c r="X1507" s="3"/>
      <c r="Y1507" s="3"/>
    </row>
    <row r="1508">
      <c r="A1508" s="5"/>
      <c r="B1508" s="5"/>
      <c r="C1508" s="5"/>
      <c r="D1508" s="5"/>
      <c r="E1508" s="3"/>
      <c r="F1508" s="5"/>
      <c r="G1508" s="5"/>
      <c r="H1508" s="5"/>
      <c r="I1508" s="3"/>
      <c r="J1508" s="3"/>
      <c r="K1508" s="3"/>
      <c r="L1508" s="3"/>
      <c r="M1508" s="3"/>
      <c r="N1508" s="3"/>
      <c r="O1508" s="3"/>
      <c r="P1508" s="3"/>
      <c r="Q1508" s="3"/>
      <c r="R1508" s="3"/>
      <c r="S1508" s="3"/>
      <c r="T1508" s="3"/>
      <c r="U1508" s="3"/>
      <c r="V1508" s="3"/>
      <c r="W1508" s="3"/>
      <c r="X1508" s="3"/>
      <c r="Y1508" s="3"/>
    </row>
    <row r="1509">
      <c r="A1509" s="5"/>
      <c r="B1509" s="5"/>
      <c r="C1509" s="5"/>
      <c r="D1509" s="5"/>
      <c r="E1509" s="3"/>
      <c r="F1509" s="5"/>
      <c r="G1509" s="5"/>
      <c r="H1509" s="5"/>
      <c r="I1509" s="3"/>
      <c r="J1509" s="3"/>
      <c r="K1509" s="3"/>
      <c r="L1509" s="3"/>
      <c r="M1509" s="3"/>
      <c r="N1509" s="3"/>
      <c r="O1509" s="3"/>
      <c r="P1509" s="3"/>
      <c r="Q1509" s="3"/>
      <c r="R1509" s="3"/>
      <c r="S1509" s="3"/>
      <c r="T1509" s="3"/>
      <c r="U1509" s="3"/>
      <c r="V1509" s="3"/>
      <c r="W1509" s="3"/>
      <c r="X1509" s="3"/>
      <c r="Y1509" s="3"/>
    </row>
    <row r="1510">
      <c r="A1510" s="5"/>
      <c r="B1510" s="5"/>
      <c r="C1510" s="5"/>
      <c r="D1510" s="5"/>
      <c r="E1510" s="3"/>
      <c r="F1510" s="5"/>
      <c r="G1510" s="5"/>
      <c r="H1510" s="5"/>
      <c r="I1510" s="3"/>
      <c r="J1510" s="3"/>
      <c r="K1510" s="3"/>
      <c r="L1510" s="3"/>
      <c r="M1510" s="3"/>
      <c r="N1510" s="3"/>
      <c r="O1510" s="3"/>
      <c r="P1510" s="3"/>
      <c r="Q1510" s="3"/>
      <c r="R1510" s="3"/>
      <c r="S1510" s="3"/>
      <c r="T1510" s="3"/>
      <c r="U1510" s="3"/>
      <c r="V1510" s="3"/>
      <c r="W1510" s="3"/>
      <c r="X1510" s="3"/>
      <c r="Y1510" s="3"/>
    </row>
    <row r="1511">
      <c r="A1511" s="5"/>
      <c r="B1511" s="5"/>
      <c r="C1511" s="5"/>
      <c r="D1511" s="5"/>
      <c r="E1511" s="3"/>
      <c r="F1511" s="5"/>
      <c r="G1511" s="5"/>
      <c r="H1511" s="5"/>
      <c r="I1511" s="3"/>
      <c r="J1511" s="3"/>
      <c r="K1511" s="3"/>
      <c r="L1511" s="3"/>
      <c r="M1511" s="3"/>
      <c r="N1511" s="3"/>
      <c r="O1511" s="3"/>
      <c r="P1511" s="3"/>
      <c r="Q1511" s="3"/>
      <c r="R1511" s="3"/>
      <c r="S1511" s="3"/>
      <c r="T1511" s="3"/>
      <c r="U1511" s="3"/>
      <c r="V1511" s="3"/>
      <c r="W1511" s="3"/>
      <c r="X1511" s="3"/>
      <c r="Y1511" s="3"/>
    </row>
    <row r="1512">
      <c r="A1512" s="5"/>
      <c r="B1512" s="5"/>
      <c r="C1512" s="5"/>
      <c r="D1512" s="5"/>
      <c r="E1512" s="3"/>
      <c r="F1512" s="5"/>
      <c r="G1512" s="5"/>
      <c r="H1512" s="5"/>
      <c r="I1512" s="3"/>
      <c r="J1512" s="3"/>
      <c r="K1512" s="3"/>
      <c r="L1512" s="3"/>
      <c r="M1512" s="3"/>
      <c r="N1512" s="3"/>
      <c r="O1512" s="3"/>
      <c r="P1512" s="3"/>
      <c r="Q1512" s="3"/>
      <c r="R1512" s="3"/>
      <c r="S1512" s="3"/>
      <c r="T1512" s="3"/>
      <c r="U1512" s="3"/>
      <c r="V1512" s="3"/>
      <c r="W1512" s="3"/>
      <c r="X1512" s="3"/>
      <c r="Y1512" s="3"/>
    </row>
    <row r="1513">
      <c r="A1513" s="5"/>
      <c r="B1513" s="5"/>
      <c r="C1513" s="5"/>
      <c r="D1513" s="5"/>
      <c r="E1513" s="3"/>
      <c r="F1513" s="5"/>
      <c r="G1513" s="5"/>
      <c r="H1513" s="5"/>
      <c r="I1513" s="3"/>
      <c r="J1513" s="3"/>
      <c r="K1513" s="3"/>
      <c r="L1513" s="3"/>
      <c r="M1513" s="3"/>
      <c r="N1513" s="3"/>
      <c r="O1513" s="3"/>
      <c r="P1513" s="3"/>
      <c r="Q1513" s="3"/>
      <c r="R1513" s="3"/>
      <c r="S1513" s="3"/>
      <c r="T1513" s="3"/>
      <c r="U1513" s="3"/>
      <c r="V1513" s="3"/>
      <c r="W1513" s="3"/>
      <c r="X1513" s="3"/>
      <c r="Y1513" s="3"/>
    </row>
    <row r="1514">
      <c r="A1514" s="5"/>
      <c r="B1514" s="5"/>
      <c r="C1514" s="5"/>
      <c r="D1514" s="5"/>
      <c r="E1514" s="3"/>
      <c r="F1514" s="5"/>
      <c r="G1514" s="5"/>
      <c r="H1514" s="5"/>
      <c r="I1514" s="3"/>
      <c r="J1514" s="3"/>
      <c r="K1514" s="3"/>
      <c r="L1514" s="3"/>
      <c r="M1514" s="3"/>
      <c r="N1514" s="3"/>
      <c r="O1514" s="3"/>
      <c r="P1514" s="3"/>
      <c r="Q1514" s="3"/>
      <c r="R1514" s="3"/>
      <c r="S1514" s="3"/>
      <c r="T1514" s="3"/>
      <c r="U1514" s="3"/>
      <c r="V1514" s="3"/>
      <c r="W1514" s="3"/>
      <c r="X1514" s="3"/>
      <c r="Y1514" s="3"/>
    </row>
    <row r="1515">
      <c r="A1515" s="5"/>
      <c r="B1515" s="5"/>
      <c r="C1515" s="5"/>
      <c r="D1515" s="5"/>
      <c r="E1515" s="3"/>
      <c r="F1515" s="5"/>
      <c r="G1515" s="5"/>
      <c r="H1515" s="5"/>
      <c r="I1515" s="3"/>
      <c r="J1515" s="3"/>
      <c r="K1515" s="3"/>
      <c r="L1515" s="3"/>
      <c r="M1515" s="3"/>
      <c r="N1515" s="3"/>
      <c r="O1515" s="3"/>
      <c r="P1515" s="3"/>
      <c r="Q1515" s="3"/>
      <c r="R1515" s="3"/>
      <c r="S1515" s="3"/>
      <c r="T1515" s="3"/>
      <c r="U1515" s="3"/>
      <c r="V1515" s="3"/>
      <c r="W1515" s="3"/>
      <c r="X1515" s="3"/>
      <c r="Y1515" s="3"/>
    </row>
    <row r="1516">
      <c r="A1516" s="5"/>
      <c r="B1516" s="5"/>
      <c r="C1516" s="5"/>
      <c r="D1516" s="5"/>
      <c r="E1516" s="3"/>
      <c r="F1516" s="5"/>
      <c r="G1516" s="5"/>
      <c r="H1516" s="5"/>
      <c r="I1516" s="3"/>
      <c r="J1516" s="3"/>
      <c r="K1516" s="3"/>
      <c r="L1516" s="3"/>
      <c r="M1516" s="3"/>
      <c r="N1516" s="3"/>
      <c r="O1516" s="3"/>
      <c r="P1516" s="3"/>
      <c r="Q1516" s="3"/>
      <c r="R1516" s="3"/>
      <c r="S1516" s="3"/>
      <c r="T1516" s="3"/>
      <c r="U1516" s="3"/>
      <c r="V1516" s="3"/>
      <c r="W1516" s="3"/>
      <c r="X1516" s="3"/>
      <c r="Y1516" s="3"/>
    </row>
    <row r="1517">
      <c r="A1517" s="5"/>
      <c r="B1517" s="5"/>
      <c r="C1517" s="5"/>
      <c r="D1517" s="5"/>
      <c r="E1517" s="3"/>
      <c r="F1517" s="5"/>
      <c r="G1517" s="5"/>
      <c r="H1517" s="5"/>
      <c r="I1517" s="3"/>
      <c r="J1517" s="3"/>
      <c r="K1517" s="3"/>
      <c r="L1517" s="3"/>
      <c r="M1517" s="3"/>
      <c r="N1517" s="3"/>
      <c r="O1517" s="3"/>
      <c r="P1517" s="3"/>
      <c r="Q1517" s="3"/>
      <c r="R1517" s="3"/>
      <c r="S1517" s="3"/>
      <c r="T1517" s="3"/>
      <c r="U1517" s="3"/>
      <c r="V1517" s="3"/>
      <c r="W1517" s="3"/>
      <c r="X1517" s="3"/>
      <c r="Y1517" s="3"/>
    </row>
    <row r="1518">
      <c r="A1518" s="5"/>
      <c r="B1518" s="5"/>
      <c r="C1518" s="5"/>
      <c r="D1518" s="5"/>
      <c r="E1518" s="3"/>
      <c r="F1518" s="5"/>
      <c r="G1518" s="5"/>
      <c r="H1518" s="5"/>
      <c r="I1518" s="3"/>
      <c r="J1518" s="3"/>
      <c r="K1518" s="3"/>
      <c r="L1518" s="3"/>
      <c r="M1518" s="3"/>
      <c r="N1518" s="3"/>
      <c r="O1518" s="3"/>
      <c r="P1518" s="3"/>
      <c r="Q1518" s="3"/>
      <c r="R1518" s="3"/>
      <c r="S1518" s="3"/>
      <c r="T1518" s="3"/>
      <c r="U1518" s="3"/>
      <c r="V1518" s="3"/>
      <c r="W1518" s="3"/>
      <c r="X1518" s="3"/>
      <c r="Y1518" s="3"/>
    </row>
    <row r="1519">
      <c r="A1519" s="5"/>
      <c r="B1519" s="5"/>
      <c r="C1519" s="5"/>
      <c r="D1519" s="5"/>
      <c r="E1519" s="3"/>
      <c r="F1519" s="5"/>
      <c r="G1519" s="5"/>
      <c r="H1519" s="5"/>
      <c r="I1519" s="3"/>
      <c r="J1519" s="3"/>
      <c r="K1519" s="3"/>
      <c r="L1519" s="3"/>
      <c r="M1519" s="3"/>
      <c r="N1519" s="3"/>
      <c r="O1519" s="3"/>
      <c r="P1519" s="3"/>
      <c r="Q1519" s="3"/>
      <c r="R1519" s="3"/>
      <c r="S1519" s="3"/>
      <c r="T1519" s="3"/>
      <c r="U1519" s="3"/>
      <c r="V1519" s="3"/>
      <c r="W1519" s="3"/>
      <c r="X1519" s="3"/>
      <c r="Y1519" s="3"/>
    </row>
    <row r="1520">
      <c r="A1520" s="5"/>
      <c r="B1520" s="5"/>
      <c r="C1520" s="5"/>
      <c r="D1520" s="5"/>
      <c r="E1520" s="3"/>
      <c r="F1520" s="5"/>
      <c r="G1520" s="5"/>
      <c r="H1520" s="5"/>
      <c r="I1520" s="3"/>
      <c r="J1520" s="3"/>
      <c r="K1520" s="3"/>
      <c r="L1520" s="3"/>
      <c r="M1520" s="3"/>
      <c r="N1520" s="3"/>
      <c r="O1520" s="3"/>
      <c r="P1520" s="3"/>
      <c r="Q1520" s="3"/>
      <c r="R1520" s="3"/>
      <c r="S1520" s="3"/>
      <c r="T1520" s="3"/>
      <c r="U1520" s="3"/>
      <c r="V1520" s="3"/>
      <c r="W1520" s="3"/>
      <c r="X1520" s="3"/>
      <c r="Y1520" s="3"/>
    </row>
    <row r="1521">
      <c r="A1521" s="5"/>
      <c r="B1521" s="5"/>
      <c r="C1521" s="5"/>
      <c r="D1521" s="5"/>
      <c r="E1521" s="3"/>
      <c r="F1521" s="5"/>
      <c r="G1521" s="5"/>
      <c r="H1521" s="5"/>
      <c r="I1521" s="3"/>
      <c r="J1521" s="3"/>
      <c r="K1521" s="3"/>
      <c r="L1521" s="3"/>
      <c r="M1521" s="3"/>
      <c r="N1521" s="3"/>
      <c r="O1521" s="3"/>
      <c r="P1521" s="3"/>
      <c r="Q1521" s="3"/>
      <c r="R1521" s="3"/>
      <c r="S1521" s="3"/>
      <c r="T1521" s="3"/>
      <c r="U1521" s="3"/>
      <c r="V1521" s="3"/>
      <c r="W1521" s="3"/>
      <c r="X1521" s="3"/>
      <c r="Y1521" s="3"/>
    </row>
    <row r="1522">
      <c r="A1522" s="5"/>
      <c r="B1522" s="5"/>
      <c r="C1522" s="5"/>
      <c r="D1522" s="5"/>
      <c r="E1522" s="3"/>
      <c r="F1522" s="5"/>
      <c r="G1522" s="5"/>
      <c r="H1522" s="5"/>
      <c r="I1522" s="3"/>
      <c r="J1522" s="3"/>
      <c r="K1522" s="3"/>
      <c r="L1522" s="3"/>
      <c r="M1522" s="3"/>
      <c r="N1522" s="3"/>
      <c r="O1522" s="3"/>
      <c r="P1522" s="3"/>
      <c r="Q1522" s="3"/>
      <c r="R1522" s="3"/>
      <c r="S1522" s="3"/>
      <c r="T1522" s="3"/>
      <c r="U1522" s="3"/>
      <c r="V1522" s="3"/>
      <c r="W1522" s="3"/>
      <c r="X1522" s="3"/>
      <c r="Y1522" s="3"/>
    </row>
    <row r="1523">
      <c r="A1523" s="5"/>
      <c r="B1523" s="5"/>
      <c r="C1523" s="5"/>
      <c r="D1523" s="5"/>
      <c r="E1523" s="3"/>
      <c r="F1523" s="5"/>
      <c r="G1523" s="5"/>
      <c r="H1523" s="5"/>
      <c r="I1523" s="3"/>
      <c r="J1523" s="3"/>
      <c r="K1523" s="3"/>
      <c r="L1523" s="3"/>
      <c r="M1523" s="3"/>
      <c r="N1523" s="3"/>
      <c r="O1523" s="3"/>
      <c r="P1523" s="3"/>
      <c r="Q1523" s="3"/>
      <c r="R1523" s="3"/>
      <c r="S1523" s="3"/>
      <c r="T1523" s="3"/>
      <c r="U1523" s="3"/>
      <c r="V1523" s="3"/>
      <c r="W1523" s="3"/>
      <c r="X1523" s="3"/>
      <c r="Y1523" s="3"/>
    </row>
    <row r="1524">
      <c r="A1524" s="5"/>
      <c r="B1524" s="5"/>
      <c r="C1524" s="5"/>
      <c r="D1524" s="5"/>
      <c r="E1524" s="3"/>
      <c r="F1524" s="5"/>
      <c r="G1524" s="5"/>
      <c r="H1524" s="5"/>
      <c r="I1524" s="3"/>
      <c r="J1524" s="3"/>
      <c r="K1524" s="3"/>
      <c r="L1524" s="3"/>
      <c r="M1524" s="3"/>
      <c r="N1524" s="3"/>
      <c r="O1524" s="3"/>
      <c r="P1524" s="3"/>
      <c r="Q1524" s="3"/>
      <c r="R1524" s="3"/>
      <c r="S1524" s="3"/>
      <c r="T1524" s="3"/>
      <c r="U1524" s="3"/>
      <c r="V1524" s="3"/>
      <c r="W1524" s="3"/>
      <c r="X1524" s="3"/>
      <c r="Y1524" s="3"/>
    </row>
    <row r="1525">
      <c r="A1525" s="5"/>
      <c r="B1525" s="5"/>
      <c r="C1525" s="5"/>
      <c r="D1525" s="5"/>
      <c r="E1525" s="3"/>
      <c r="F1525" s="5"/>
      <c r="G1525" s="5"/>
      <c r="H1525" s="5"/>
      <c r="I1525" s="3"/>
      <c r="J1525" s="3"/>
      <c r="K1525" s="3"/>
      <c r="L1525" s="3"/>
      <c r="M1525" s="3"/>
      <c r="N1525" s="3"/>
      <c r="O1525" s="3"/>
      <c r="P1525" s="3"/>
      <c r="Q1525" s="3"/>
      <c r="R1525" s="3"/>
      <c r="S1525" s="3"/>
      <c r="T1525" s="3"/>
      <c r="U1525" s="3"/>
      <c r="V1525" s="3"/>
      <c r="W1525" s="3"/>
      <c r="X1525" s="3"/>
      <c r="Y1525" s="3"/>
    </row>
    <row r="1526">
      <c r="A1526" s="5"/>
      <c r="B1526" s="5"/>
      <c r="C1526" s="5"/>
      <c r="D1526" s="5"/>
      <c r="E1526" s="3"/>
      <c r="F1526" s="5"/>
      <c r="G1526" s="5"/>
      <c r="H1526" s="5"/>
      <c r="I1526" s="3"/>
      <c r="J1526" s="3"/>
      <c r="K1526" s="3"/>
      <c r="L1526" s="3"/>
      <c r="M1526" s="3"/>
      <c r="N1526" s="3"/>
      <c r="O1526" s="3"/>
      <c r="P1526" s="3"/>
      <c r="Q1526" s="3"/>
      <c r="R1526" s="3"/>
      <c r="S1526" s="3"/>
      <c r="T1526" s="3"/>
      <c r="U1526" s="3"/>
      <c r="V1526" s="3"/>
      <c r="W1526" s="3"/>
      <c r="X1526" s="3"/>
      <c r="Y1526" s="3"/>
    </row>
    <row r="1527">
      <c r="A1527" s="5"/>
      <c r="B1527" s="5"/>
      <c r="C1527" s="5"/>
      <c r="D1527" s="5"/>
      <c r="E1527" s="3"/>
      <c r="F1527" s="5"/>
      <c r="G1527" s="5"/>
      <c r="H1527" s="5"/>
      <c r="I1527" s="3"/>
      <c r="J1527" s="3"/>
      <c r="K1527" s="3"/>
      <c r="L1527" s="3"/>
      <c r="M1527" s="3"/>
      <c r="N1527" s="3"/>
      <c r="O1527" s="3"/>
      <c r="P1527" s="3"/>
      <c r="Q1527" s="3"/>
      <c r="R1527" s="3"/>
      <c r="S1527" s="3"/>
      <c r="T1527" s="3"/>
      <c r="U1527" s="3"/>
      <c r="V1527" s="3"/>
      <c r="W1527" s="3"/>
      <c r="X1527" s="3"/>
      <c r="Y1527" s="3"/>
    </row>
    <row r="1528">
      <c r="A1528" s="5"/>
      <c r="B1528" s="5"/>
      <c r="C1528" s="5"/>
      <c r="D1528" s="5"/>
      <c r="E1528" s="3"/>
      <c r="F1528" s="5"/>
      <c r="G1528" s="5"/>
      <c r="H1528" s="5"/>
      <c r="I1528" s="3"/>
      <c r="J1528" s="3"/>
      <c r="K1528" s="3"/>
      <c r="L1528" s="3"/>
      <c r="M1528" s="3"/>
      <c r="N1528" s="3"/>
      <c r="O1528" s="3"/>
      <c r="P1528" s="3"/>
      <c r="Q1528" s="3"/>
      <c r="R1528" s="3"/>
      <c r="S1528" s="3"/>
      <c r="T1528" s="3"/>
      <c r="U1528" s="3"/>
      <c r="V1528" s="3"/>
      <c r="W1528" s="3"/>
      <c r="X1528" s="3"/>
      <c r="Y1528" s="3"/>
    </row>
    <row r="1529">
      <c r="A1529" s="5"/>
      <c r="B1529" s="5"/>
      <c r="C1529" s="5"/>
      <c r="D1529" s="5"/>
      <c r="E1529" s="3"/>
      <c r="F1529" s="5"/>
      <c r="G1529" s="5"/>
      <c r="H1529" s="5"/>
      <c r="I1529" s="3"/>
      <c r="J1529" s="3"/>
      <c r="K1529" s="3"/>
      <c r="L1529" s="3"/>
      <c r="M1529" s="3"/>
      <c r="N1529" s="3"/>
      <c r="O1529" s="3"/>
      <c r="P1529" s="3"/>
      <c r="Q1529" s="3"/>
      <c r="R1529" s="3"/>
      <c r="S1529" s="3"/>
      <c r="T1529" s="3"/>
      <c r="U1529" s="3"/>
      <c r="V1529" s="3"/>
      <c r="W1529" s="3"/>
      <c r="X1529" s="3"/>
      <c r="Y1529" s="3"/>
    </row>
    <row r="1530">
      <c r="A1530" s="5"/>
      <c r="B1530" s="5"/>
      <c r="C1530" s="5"/>
      <c r="D1530" s="5"/>
      <c r="E1530" s="3"/>
      <c r="F1530" s="5"/>
      <c r="G1530" s="5"/>
      <c r="H1530" s="5"/>
      <c r="I1530" s="3"/>
      <c r="J1530" s="3"/>
      <c r="K1530" s="3"/>
      <c r="L1530" s="3"/>
      <c r="M1530" s="3"/>
      <c r="N1530" s="3"/>
      <c r="O1530" s="3"/>
      <c r="P1530" s="3"/>
      <c r="Q1530" s="3"/>
      <c r="R1530" s="3"/>
      <c r="S1530" s="3"/>
      <c r="T1530" s="3"/>
      <c r="U1530" s="3"/>
      <c r="V1530" s="3"/>
      <c r="W1530" s="3"/>
      <c r="X1530" s="3"/>
      <c r="Y1530" s="3"/>
    </row>
    <row r="1531">
      <c r="A1531" s="5"/>
      <c r="B1531" s="5"/>
      <c r="C1531" s="5"/>
      <c r="D1531" s="5"/>
      <c r="E1531" s="3"/>
      <c r="F1531" s="5"/>
      <c r="G1531" s="5"/>
      <c r="H1531" s="5"/>
      <c r="I1531" s="3"/>
      <c r="J1531" s="3"/>
      <c r="K1531" s="3"/>
      <c r="L1531" s="3"/>
      <c r="M1531" s="3"/>
      <c r="N1531" s="3"/>
      <c r="O1531" s="3"/>
      <c r="P1531" s="3"/>
      <c r="Q1531" s="3"/>
      <c r="R1531" s="3"/>
      <c r="S1531" s="3"/>
      <c r="T1531" s="3"/>
      <c r="U1531" s="3"/>
      <c r="V1531" s="3"/>
      <c r="W1531" s="3"/>
      <c r="X1531" s="3"/>
      <c r="Y1531" s="3"/>
    </row>
    <row r="1532">
      <c r="A1532" s="5"/>
      <c r="B1532" s="5"/>
      <c r="C1532" s="5"/>
      <c r="D1532" s="5"/>
      <c r="E1532" s="3"/>
      <c r="F1532" s="5"/>
      <c r="G1532" s="5"/>
      <c r="H1532" s="5"/>
      <c r="I1532" s="3"/>
      <c r="J1532" s="3"/>
      <c r="K1532" s="3"/>
      <c r="L1532" s="3"/>
      <c r="M1532" s="3"/>
      <c r="N1532" s="3"/>
      <c r="O1532" s="3"/>
      <c r="P1532" s="3"/>
      <c r="Q1532" s="3"/>
      <c r="R1532" s="3"/>
      <c r="S1532" s="3"/>
      <c r="T1532" s="3"/>
      <c r="U1532" s="3"/>
      <c r="V1532" s="3"/>
      <c r="W1532" s="3"/>
      <c r="X1532" s="3"/>
      <c r="Y1532" s="3"/>
    </row>
    <row r="1533">
      <c r="A1533" s="5"/>
      <c r="B1533" s="5"/>
      <c r="C1533" s="5"/>
      <c r="D1533" s="5"/>
      <c r="E1533" s="3"/>
      <c r="F1533" s="5"/>
      <c r="G1533" s="5"/>
      <c r="H1533" s="5"/>
      <c r="I1533" s="3"/>
      <c r="J1533" s="3"/>
      <c r="K1533" s="3"/>
      <c r="L1533" s="3"/>
      <c r="M1533" s="3"/>
      <c r="N1533" s="3"/>
      <c r="O1533" s="3"/>
      <c r="P1533" s="3"/>
      <c r="Q1533" s="3"/>
      <c r="R1533" s="3"/>
      <c r="S1533" s="3"/>
      <c r="T1533" s="3"/>
      <c r="U1533" s="3"/>
      <c r="V1533" s="3"/>
      <c r="W1533" s="3"/>
      <c r="X1533" s="3"/>
      <c r="Y1533" s="3"/>
    </row>
    <row r="1534">
      <c r="A1534" s="5"/>
      <c r="B1534" s="5"/>
      <c r="C1534" s="5"/>
      <c r="D1534" s="5"/>
      <c r="E1534" s="3"/>
      <c r="F1534" s="5"/>
      <c r="G1534" s="5"/>
      <c r="H1534" s="5"/>
      <c r="I1534" s="3"/>
      <c r="J1534" s="3"/>
      <c r="K1534" s="3"/>
      <c r="L1534" s="3"/>
      <c r="M1534" s="3"/>
      <c r="N1534" s="3"/>
      <c r="O1534" s="3"/>
      <c r="P1534" s="3"/>
      <c r="Q1534" s="3"/>
      <c r="R1534" s="3"/>
      <c r="S1534" s="3"/>
      <c r="T1534" s="3"/>
      <c r="U1534" s="3"/>
      <c r="V1534" s="3"/>
      <c r="W1534" s="3"/>
      <c r="X1534" s="3"/>
      <c r="Y1534" s="3"/>
    </row>
    <row r="1535">
      <c r="A1535" s="5"/>
      <c r="B1535" s="5"/>
      <c r="C1535" s="5"/>
      <c r="D1535" s="5"/>
      <c r="E1535" s="3"/>
      <c r="F1535" s="5"/>
      <c r="G1535" s="5"/>
      <c r="H1535" s="5"/>
      <c r="I1535" s="3"/>
      <c r="J1535" s="3"/>
      <c r="K1535" s="3"/>
      <c r="L1535" s="3"/>
      <c r="M1535" s="3"/>
      <c r="N1535" s="3"/>
      <c r="O1535" s="3"/>
      <c r="P1535" s="3"/>
      <c r="Q1535" s="3"/>
      <c r="R1535" s="3"/>
      <c r="S1535" s="3"/>
      <c r="T1535" s="3"/>
      <c r="U1535" s="3"/>
      <c r="V1535" s="3"/>
      <c r="W1535" s="3"/>
      <c r="X1535" s="3"/>
      <c r="Y1535" s="3"/>
    </row>
    <row r="1536">
      <c r="A1536" s="5"/>
      <c r="B1536" s="5"/>
      <c r="C1536" s="5"/>
      <c r="D1536" s="5"/>
      <c r="E1536" s="3"/>
      <c r="F1536" s="5"/>
      <c r="G1536" s="5"/>
      <c r="H1536" s="5"/>
      <c r="I1536" s="3"/>
      <c r="J1536" s="3"/>
      <c r="K1536" s="3"/>
      <c r="L1536" s="3"/>
      <c r="M1536" s="3"/>
      <c r="N1536" s="3"/>
      <c r="O1536" s="3"/>
      <c r="P1536" s="3"/>
      <c r="Q1536" s="3"/>
      <c r="R1536" s="3"/>
      <c r="S1536" s="3"/>
      <c r="T1536" s="3"/>
      <c r="U1536" s="3"/>
      <c r="V1536" s="3"/>
      <c r="W1536" s="3"/>
      <c r="X1536" s="3"/>
      <c r="Y1536" s="3"/>
    </row>
    <row r="1537">
      <c r="A1537" s="5"/>
      <c r="B1537" s="5"/>
      <c r="C1537" s="5"/>
      <c r="D1537" s="5"/>
      <c r="E1537" s="3"/>
      <c r="F1537" s="5"/>
      <c r="G1537" s="5"/>
      <c r="H1537" s="5"/>
      <c r="I1537" s="3"/>
      <c r="J1537" s="3"/>
      <c r="K1537" s="3"/>
      <c r="L1537" s="3"/>
      <c r="M1537" s="3"/>
      <c r="N1537" s="3"/>
      <c r="O1537" s="3"/>
      <c r="P1537" s="3"/>
      <c r="Q1537" s="3"/>
      <c r="R1537" s="3"/>
      <c r="S1537" s="3"/>
      <c r="T1537" s="3"/>
      <c r="U1537" s="3"/>
      <c r="V1537" s="3"/>
      <c r="W1537" s="3"/>
      <c r="X1537" s="3"/>
      <c r="Y1537" s="3"/>
    </row>
    <row r="1538">
      <c r="A1538" s="5"/>
      <c r="B1538" s="5"/>
      <c r="C1538" s="5"/>
      <c r="D1538" s="5"/>
      <c r="E1538" s="3"/>
      <c r="F1538" s="5"/>
      <c r="G1538" s="5"/>
      <c r="H1538" s="5"/>
      <c r="I1538" s="3"/>
      <c r="J1538" s="3"/>
      <c r="K1538" s="3"/>
      <c r="L1538" s="3"/>
      <c r="M1538" s="3"/>
      <c r="N1538" s="3"/>
      <c r="O1538" s="3"/>
      <c r="P1538" s="3"/>
      <c r="Q1538" s="3"/>
      <c r="R1538" s="3"/>
      <c r="S1538" s="3"/>
      <c r="T1538" s="3"/>
      <c r="U1538" s="3"/>
      <c r="V1538" s="3"/>
      <c r="W1538" s="3"/>
      <c r="X1538" s="3"/>
      <c r="Y1538" s="3"/>
    </row>
    <row r="1539">
      <c r="A1539" s="5"/>
      <c r="B1539" s="5"/>
      <c r="C1539" s="5"/>
      <c r="D1539" s="5"/>
      <c r="E1539" s="3"/>
      <c r="F1539" s="5"/>
      <c r="G1539" s="5"/>
      <c r="H1539" s="5"/>
      <c r="I1539" s="3"/>
      <c r="J1539" s="3"/>
      <c r="K1539" s="3"/>
      <c r="L1539" s="3"/>
      <c r="M1539" s="3"/>
      <c r="N1539" s="3"/>
      <c r="O1539" s="3"/>
      <c r="P1539" s="3"/>
      <c r="Q1539" s="3"/>
      <c r="R1539" s="3"/>
      <c r="S1539" s="3"/>
      <c r="T1539" s="3"/>
      <c r="U1539" s="3"/>
      <c r="V1539" s="3"/>
      <c r="W1539" s="3"/>
      <c r="X1539" s="3"/>
      <c r="Y1539" s="3"/>
    </row>
    <row r="1540">
      <c r="A1540" s="5"/>
      <c r="B1540" s="5"/>
      <c r="C1540" s="5"/>
      <c r="D1540" s="5"/>
      <c r="E1540" s="3"/>
      <c r="F1540" s="5"/>
      <c r="G1540" s="5"/>
      <c r="H1540" s="5"/>
      <c r="I1540" s="3"/>
      <c r="J1540" s="3"/>
      <c r="K1540" s="3"/>
      <c r="L1540" s="3"/>
      <c r="M1540" s="3"/>
      <c r="N1540" s="3"/>
      <c r="O1540" s="3"/>
      <c r="P1540" s="3"/>
      <c r="Q1540" s="3"/>
      <c r="R1540" s="3"/>
      <c r="S1540" s="3"/>
      <c r="T1540" s="3"/>
      <c r="U1540" s="3"/>
      <c r="V1540" s="3"/>
      <c r="W1540" s="3"/>
      <c r="X1540" s="3"/>
      <c r="Y1540" s="3"/>
    </row>
    <row r="1541">
      <c r="A1541" s="5"/>
      <c r="B1541" s="5"/>
      <c r="C1541" s="5"/>
      <c r="D1541" s="5"/>
      <c r="E1541" s="3"/>
      <c r="F1541" s="5"/>
      <c r="G1541" s="5"/>
      <c r="H1541" s="5"/>
      <c r="I1541" s="3"/>
      <c r="J1541" s="3"/>
      <c r="K1541" s="3"/>
      <c r="L1541" s="3"/>
      <c r="M1541" s="3"/>
      <c r="N1541" s="3"/>
      <c r="O1541" s="3"/>
      <c r="P1541" s="3"/>
      <c r="Q1541" s="3"/>
      <c r="R1541" s="3"/>
      <c r="S1541" s="3"/>
      <c r="T1541" s="3"/>
      <c r="U1541" s="3"/>
      <c r="V1541" s="3"/>
      <c r="W1541" s="3"/>
      <c r="X1541" s="3"/>
      <c r="Y1541" s="3"/>
    </row>
    <row r="1542">
      <c r="A1542" s="5"/>
      <c r="B1542" s="5"/>
      <c r="C1542" s="5"/>
      <c r="D1542" s="5"/>
      <c r="E1542" s="3"/>
      <c r="F1542" s="5"/>
      <c r="G1542" s="5"/>
      <c r="H1542" s="5"/>
      <c r="I1542" s="3"/>
      <c r="J1542" s="3"/>
      <c r="K1542" s="3"/>
      <c r="L1542" s="3"/>
      <c r="M1542" s="3"/>
      <c r="N1542" s="3"/>
      <c r="O1542" s="3"/>
      <c r="P1542" s="3"/>
      <c r="Q1542" s="3"/>
      <c r="R1542" s="3"/>
      <c r="S1542" s="3"/>
      <c r="T1542" s="3"/>
      <c r="U1542" s="3"/>
      <c r="V1542" s="3"/>
      <c r="W1542" s="3"/>
      <c r="X1542" s="3"/>
      <c r="Y1542" s="3"/>
    </row>
    <row r="1543">
      <c r="A1543" s="5"/>
      <c r="B1543" s="5"/>
      <c r="C1543" s="5"/>
      <c r="D1543" s="5"/>
      <c r="E1543" s="3"/>
      <c r="F1543" s="5"/>
      <c r="G1543" s="5"/>
      <c r="H1543" s="5"/>
      <c r="I1543" s="3"/>
      <c r="J1543" s="3"/>
      <c r="K1543" s="3"/>
      <c r="L1543" s="3"/>
      <c r="M1543" s="3"/>
      <c r="N1543" s="3"/>
      <c r="O1543" s="3"/>
      <c r="P1543" s="3"/>
      <c r="Q1543" s="3"/>
      <c r="R1543" s="3"/>
      <c r="S1543" s="3"/>
      <c r="T1543" s="3"/>
      <c r="U1543" s="3"/>
      <c r="V1543" s="3"/>
      <c r="W1543" s="3"/>
      <c r="X1543" s="3"/>
      <c r="Y1543" s="3"/>
    </row>
    <row r="1544">
      <c r="A1544" s="5"/>
      <c r="B1544" s="5"/>
      <c r="C1544" s="5"/>
      <c r="D1544" s="5"/>
      <c r="E1544" s="3"/>
      <c r="F1544" s="5"/>
      <c r="G1544" s="5"/>
      <c r="H1544" s="5"/>
      <c r="I1544" s="3"/>
      <c r="J1544" s="3"/>
      <c r="K1544" s="3"/>
      <c r="L1544" s="3"/>
      <c r="M1544" s="3"/>
      <c r="N1544" s="3"/>
      <c r="O1544" s="3"/>
      <c r="P1544" s="3"/>
      <c r="Q1544" s="3"/>
      <c r="R1544" s="3"/>
      <c r="S1544" s="3"/>
      <c r="T1544" s="3"/>
      <c r="U1544" s="3"/>
      <c r="V1544" s="3"/>
      <c r="W1544" s="3"/>
      <c r="X1544" s="3"/>
      <c r="Y1544" s="3"/>
    </row>
    <row r="1545">
      <c r="A1545" s="5"/>
      <c r="B1545" s="5"/>
      <c r="C1545" s="5"/>
      <c r="D1545" s="5"/>
      <c r="E1545" s="3"/>
      <c r="F1545" s="5"/>
      <c r="G1545" s="5"/>
      <c r="H1545" s="5"/>
      <c r="I1545" s="3"/>
      <c r="J1545" s="3"/>
      <c r="K1545" s="3"/>
      <c r="L1545" s="3"/>
      <c r="M1545" s="3"/>
      <c r="N1545" s="3"/>
      <c r="O1545" s="3"/>
      <c r="P1545" s="3"/>
      <c r="Q1545" s="3"/>
      <c r="R1545" s="3"/>
      <c r="S1545" s="3"/>
      <c r="T1545" s="3"/>
      <c r="U1545" s="3"/>
      <c r="V1545" s="3"/>
      <c r="W1545" s="3"/>
      <c r="X1545" s="3"/>
      <c r="Y1545" s="3"/>
    </row>
    <row r="1546">
      <c r="A1546" s="5"/>
      <c r="B1546" s="5"/>
      <c r="C1546" s="5"/>
      <c r="D1546" s="5"/>
      <c r="E1546" s="3"/>
      <c r="F1546" s="5"/>
      <c r="G1546" s="5"/>
      <c r="H1546" s="5"/>
      <c r="I1546" s="3"/>
      <c r="J1546" s="3"/>
      <c r="K1546" s="3"/>
      <c r="L1546" s="3"/>
      <c r="M1546" s="3"/>
      <c r="N1546" s="3"/>
      <c r="O1546" s="3"/>
      <c r="P1546" s="3"/>
      <c r="Q1546" s="3"/>
      <c r="R1546" s="3"/>
      <c r="S1546" s="3"/>
      <c r="T1546" s="3"/>
      <c r="U1546" s="3"/>
      <c r="V1546" s="3"/>
      <c r="W1546" s="3"/>
      <c r="X1546" s="3"/>
      <c r="Y1546" s="3"/>
    </row>
    <row r="1547">
      <c r="A1547" s="5"/>
      <c r="B1547" s="5"/>
      <c r="C1547" s="5"/>
      <c r="D1547" s="5"/>
      <c r="E1547" s="3"/>
      <c r="F1547" s="5"/>
      <c r="G1547" s="5"/>
      <c r="H1547" s="5"/>
      <c r="I1547" s="3"/>
      <c r="J1547" s="3"/>
      <c r="K1547" s="3"/>
      <c r="L1547" s="3"/>
      <c r="M1547" s="3"/>
      <c r="N1547" s="3"/>
      <c r="O1547" s="3"/>
      <c r="P1547" s="3"/>
      <c r="Q1547" s="3"/>
      <c r="R1547" s="3"/>
      <c r="S1547" s="3"/>
      <c r="T1547" s="3"/>
      <c r="U1547" s="3"/>
      <c r="V1547" s="3"/>
      <c r="W1547" s="3"/>
      <c r="X1547" s="3"/>
      <c r="Y1547" s="3"/>
    </row>
    <row r="1548">
      <c r="A1548" s="5"/>
      <c r="B1548" s="5"/>
      <c r="C1548" s="5"/>
      <c r="D1548" s="5"/>
      <c r="E1548" s="3"/>
      <c r="F1548" s="5"/>
      <c r="G1548" s="5"/>
      <c r="H1548" s="5"/>
      <c r="I1548" s="3"/>
      <c r="J1548" s="3"/>
      <c r="K1548" s="3"/>
      <c r="L1548" s="3"/>
      <c r="M1548" s="3"/>
      <c r="N1548" s="3"/>
      <c r="O1548" s="3"/>
      <c r="P1548" s="3"/>
      <c r="Q1548" s="3"/>
      <c r="R1548" s="3"/>
      <c r="S1548" s="3"/>
      <c r="T1548" s="3"/>
      <c r="U1548" s="3"/>
      <c r="V1548" s="3"/>
      <c r="W1548" s="3"/>
      <c r="X1548" s="3"/>
      <c r="Y1548" s="3"/>
    </row>
    <row r="1549">
      <c r="A1549" s="5"/>
      <c r="B1549" s="5"/>
      <c r="C1549" s="5"/>
      <c r="D1549" s="5"/>
      <c r="E1549" s="3"/>
      <c r="F1549" s="5"/>
      <c r="G1549" s="5"/>
      <c r="H1549" s="5"/>
      <c r="I1549" s="3"/>
      <c r="J1549" s="3"/>
      <c r="K1549" s="3"/>
      <c r="L1549" s="3"/>
      <c r="M1549" s="3"/>
      <c r="N1549" s="3"/>
      <c r="O1549" s="3"/>
      <c r="P1549" s="3"/>
      <c r="Q1549" s="3"/>
      <c r="R1549" s="3"/>
      <c r="S1549" s="3"/>
      <c r="T1549" s="3"/>
      <c r="U1549" s="3"/>
      <c r="V1549" s="3"/>
      <c r="W1549" s="3"/>
      <c r="X1549" s="3"/>
      <c r="Y1549" s="3"/>
    </row>
    <row r="1550">
      <c r="A1550" s="5"/>
      <c r="B1550" s="5"/>
      <c r="C1550" s="5"/>
      <c r="D1550" s="5"/>
      <c r="E1550" s="3"/>
      <c r="F1550" s="5"/>
      <c r="G1550" s="5"/>
      <c r="H1550" s="5"/>
      <c r="I1550" s="3"/>
      <c r="J1550" s="3"/>
      <c r="K1550" s="3"/>
      <c r="L1550" s="3"/>
      <c r="M1550" s="3"/>
      <c r="N1550" s="3"/>
      <c r="O1550" s="3"/>
      <c r="P1550" s="3"/>
      <c r="Q1550" s="3"/>
      <c r="R1550" s="3"/>
      <c r="S1550" s="3"/>
      <c r="T1550" s="3"/>
      <c r="U1550" s="3"/>
      <c r="V1550" s="3"/>
      <c r="W1550" s="3"/>
      <c r="X1550" s="3"/>
      <c r="Y1550" s="3"/>
    </row>
    <row r="1551">
      <c r="A1551" s="5"/>
      <c r="B1551" s="5"/>
      <c r="C1551" s="5"/>
      <c r="D1551" s="5"/>
      <c r="E1551" s="3"/>
      <c r="F1551" s="5"/>
      <c r="G1551" s="5"/>
      <c r="H1551" s="5"/>
      <c r="I1551" s="3"/>
      <c r="J1551" s="3"/>
      <c r="K1551" s="3"/>
      <c r="L1551" s="3"/>
      <c r="M1551" s="3"/>
      <c r="N1551" s="3"/>
      <c r="O1551" s="3"/>
      <c r="P1551" s="3"/>
      <c r="Q1551" s="3"/>
      <c r="R1551" s="3"/>
      <c r="S1551" s="3"/>
      <c r="T1551" s="3"/>
      <c r="U1551" s="3"/>
      <c r="V1551" s="3"/>
      <c r="W1551" s="3"/>
      <c r="X1551" s="3"/>
      <c r="Y1551" s="3"/>
    </row>
    <row r="1552">
      <c r="A1552" s="5"/>
      <c r="B1552" s="5"/>
      <c r="C1552" s="5"/>
      <c r="D1552" s="5"/>
      <c r="E1552" s="3"/>
      <c r="F1552" s="5"/>
      <c r="G1552" s="5"/>
      <c r="H1552" s="5"/>
      <c r="I1552" s="3"/>
      <c r="J1552" s="3"/>
      <c r="K1552" s="3"/>
      <c r="L1552" s="3"/>
      <c r="M1552" s="3"/>
      <c r="N1552" s="3"/>
      <c r="O1552" s="3"/>
      <c r="P1552" s="3"/>
      <c r="Q1552" s="3"/>
      <c r="R1552" s="3"/>
      <c r="S1552" s="3"/>
      <c r="T1552" s="3"/>
      <c r="U1552" s="3"/>
      <c r="V1552" s="3"/>
      <c r="W1552" s="3"/>
      <c r="X1552" s="3"/>
      <c r="Y1552" s="3"/>
    </row>
    <row r="1553">
      <c r="A1553" s="5"/>
      <c r="B1553" s="5"/>
      <c r="C1553" s="5"/>
      <c r="D1553" s="5"/>
      <c r="E1553" s="3"/>
      <c r="F1553" s="5"/>
      <c r="G1553" s="5"/>
      <c r="H1553" s="5"/>
      <c r="I1553" s="3"/>
      <c r="J1553" s="3"/>
      <c r="K1553" s="3"/>
      <c r="L1553" s="3"/>
      <c r="M1553" s="3"/>
      <c r="N1553" s="3"/>
      <c r="O1553" s="3"/>
      <c r="P1553" s="3"/>
      <c r="Q1553" s="3"/>
      <c r="R1553" s="3"/>
      <c r="S1553" s="3"/>
      <c r="T1553" s="3"/>
      <c r="U1553" s="3"/>
      <c r="V1553" s="3"/>
      <c r="W1553" s="3"/>
      <c r="X1553" s="3"/>
      <c r="Y1553" s="3"/>
    </row>
    <row r="1554">
      <c r="A1554" s="5"/>
      <c r="B1554" s="5"/>
      <c r="C1554" s="5"/>
      <c r="D1554" s="5"/>
      <c r="E1554" s="3"/>
      <c r="F1554" s="5"/>
      <c r="G1554" s="5"/>
      <c r="H1554" s="5"/>
      <c r="I1554" s="3"/>
      <c r="J1554" s="3"/>
      <c r="K1554" s="3"/>
      <c r="L1554" s="3"/>
      <c r="M1554" s="3"/>
      <c r="N1554" s="3"/>
      <c r="O1554" s="3"/>
      <c r="P1554" s="3"/>
      <c r="Q1554" s="3"/>
      <c r="R1554" s="3"/>
      <c r="S1554" s="3"/>
      <c r="T1554" s="3"/>
      <c r="U1554" s="3"/>
      <c r="V1554" s="3"/>
      <c r="W1554" s="3"/>
      <c r="X1554" s="3"/>
      <c r="Y1554" s="3"/>
    </row>
    <row r="1555">
      <c r="A1555" s="5"/>
      <c r="B1555" s="5"/>
      <c r="C1555" s="5"/>
      <c r="D1555" s="5"/>
      <c r="E1555" s="3"/>
      <c r="F1555" s="5"/>
      <c r="G1555" s="5"/>
      <c r="H1555" s="5"/>
      <c r="I1555" s="3"/>
      <c r="J1555" s="3"/>
      <c r="K1555" s="3"/>
      <c r="L1555" s="3"/>
      <c r="M1555" s="3"/>
      <c r="N1555" s="3"/>
      <c r="O1555" s="3"/>
      <c r="P1555" s="3"/>
      <c r="Q1555" s="3"/>
      <c r="R1555" s="3"/>
      <c r="S1555" s="3"/>
      <c r="T1555" s="3"/>
      <c r="U1555" s="3"/>
      <c r="V1555" s="3"/>
      <c r="W1555" s="3"/>
      <c r="X1555" s="3"/>
      <c r="Y1555" s="3"/>
    </row>
    <row r="1556">
      <c r="A1556" s="5"/>
      <c r="B1556" s="5"/>
      <c r="C1556" s="5"/>
      <c r="D1556" s="5"/>
      <c r="E1556" s="3"/>
      <c r="F1556" s="5"/>
      <c r="G1556" s="5"/>
      <c r="H1556" s="5"/>
      <c r="I1556" s="3"/>
      <c r="J1556" s="3"/>
      <c r="K1556" s="3"/>
      <c r="L1556" s="3"/>
      <c r="M1556" s="3"/>
      <c r="N1556" s="3"/>
      <c r="O1556" s="3"/>
      <c r="P1556" s="3"/>
      <c r="Q1556" s="3"/>
      <c r="R1556" s="3"/>
      <c r="S1556" s="3"/>
      <c r="T1556" s="3"/>
      <c r="U1556" s="3"/>
      <c r="V1556" s="3"/>
      <c r="W1556" s="3"/>
      <c r="X1556" s="3"/>
      <c r="Y1556" s="3"/>
    </row>
    <row r="1557">
      <c r="A1557" s="5"/>
      <c r="B1557" s="5"/>
      <c r="C1557" s="5"/>
      <c r="D1557" s="5"/>
      <c r="E1557" s="3"/>
      <c r="F1557" s="5"/>
      <c r="G1557" s="5"/>
      <c r="H1557" s="5"/>
      <c r="I1557" s="3"/>
      <c r="J1557" s="3"/>
      <c r="K1557" s="3"/>
      <c r="L1557" s="3"/>
      <c r="M1557" s="3"/>
      <c r="N1557" s="3"/>
      <c r="O1557" s="3"/>
      <c r="P1557" s="3"/>
      <c r="Q1557" s="3"/>
      <c r="R1557" s="3"/>
      <c r="S1557" s="3"/>
      <c r="T1557" s="3"/>
      <c r="U1557" s="3"/>
      <c r="V1557" s="3"/>
      <c r="W1557" s="3"/>
      <c r="X1557" s="3"/>
      <c r="Y1557" s="3"/>
    </row>
    <row r="1558">
      <c r="A1558" s="5"/>
      <c r="B1558" s="5"/>
      <c r="C1558" s="5"/>
      <c r="D1558" s="5"/>
      <c r="E1558" s="3"/>
      <c r="F1558" s="5"/>
      <c r="G1558" s="5"/>
      <c r="H1558" s="5"/>
      <c r="I1558" s="3"/>
      <c r="J1558" s="3"/>
      <c r="K1558" s="3"/>
      <c r="L1558" s="3"/>
      <c r="M1558" s="3"/>
      <c r="N1558" s="3"/>
      <c r="O1558" s="3"/>
      <c r="P1558" s="3"/>
      <c r="Q1558" s="3"/>
      <c r="R1558" s="3"/>
      <c r="S1558" s="3"/>
      <c r="T1558" s="3"/>
      <c r="U1558" s="3"/>
      <c r="V1558" s="3"/>
      <c r="W1558" s="3"/>
      <c r="X1558" s="3"/>
      <c r="Y1558" s="3"/>
    </row>
    <row r="1559">
      <c r="A1559" s="5"/>
      <c r="B1559" s="5"/>
      <c r="C1559" s="5"/>
      <c r="D1559" s="5"/>
      <c r="E1559" s="3"/>
      <c r="F1559" s="5"/>
      <c r="G1559" s="5"/>
      <c r="H1559" s="5"/>
      <c r="I1559" s="3"/>
      <c r="J1559" s="3"/>
      <c r="K1559" s="3"/>
      <c r="L1559" s="3"/>
      <c r="M1559" s="3"/>
      <c r="N1559" s="3"/>
      <c r="O1559" s="3"/>
      <c r="P1559" s="3"/>
      <c r="Q1559" s="3"/>
      <c r="R1559" s="3"/>
      <c r="S1559" s="3"/>
      <c r="T1559" s="3"/>
      <c r="U1559" s="3"/>
      <c r="V1559" s="3"/>
      <c r="W1559" s="3"/>
      <c r="X1559" s="3"/>
      <c r="Y1559" s="3"/>
    </row>
    <row r="1560">
      <c r="A1560" s="5"/>
      <c r="B1560" s="5"/>
      <c r="C1560" s="5"/>
      <c r="D1560" s="5"/>
      <c r="E1560" s="3"/>
      <c r="F1560" s="5"/>
      <c r="G1560" s="5"/>
      <c r="H1560" s="5"/>
      <c r="I1560" s="3"/>
      <c r="J1560" s="3"/>
      <c r="K1560" s="3"/>
      <c r="L1560" s="3"/>
      <c r="M1560" s="3"/>
      <c r="N1560" s="3"/>
      <c r="O1560" s="3"/>
      <c r="P1560" s="3"/>
      <c r="Q1560" s="3"/>
      <c r="R1560" s="3"/>
      <c r="S1560" s="3"/>
      <c r="T1560" s="3"/>
      <c r="U1560" s="3"/>
      <c r="V1560" s="3"/>
      <c r="W1560" s="3"/>
      <c r="X1560" s="3"/>
      <c r="Y1560" s="3"/>
    </row>
    <row r="1561">
      <c r="A1561" s="5"/>
      <c r="B1561" s="5"/>
      <c r="C1561" s="5"/>
      <c r="D1561" s="5"/>
      <c r="E1561" s="3"/>
      <c r="F1561" s="5"/>
      <c r="G1561" s="5"/>
      <c r="H1561" s="5"/>
      <c r="I1561" s="3"/>
      <c r="J1561" s="3"/>
      <c r="K1561" s="3"/>
      <c r="L1561" s="3"/>
      <c r="M1561" s="3"/>
      <c r="N1561" s="3"/>
      <c r="O1561" s="3"/>
      <c r="P1561" s="3"/>
      <c r="Q1561" s="3"/>
      <c r="R1561" s="3"/>
      <c r="S1561" s="3"/>
      <c r="T1561" s="3"/>
      <c r="U1561" s="3"/>
      <c r="V1561" s="3"/>
      <c r="W1561" s="3"/>
      <c r="X1561" s="3"/>
      <c r="Y1561" s="3"/>
    </row>
    <row r="1562">
      <c r="A1562" s="5"/>
      <c r="B1562" s="5"/>
      <c r="C1562" s="5"/>
      <c r="D1562" s="5"/>
      <c r="E1562" s="3"/>
      <c r="F1562" s="5"/>
      <c r="G1562" s="5"/>
      <c r="H1562" s="5"/>
      <c r="I1562" s="3"/>
      <c r="J1562" s="3"/>
      <c r="K1562" s="3"/>
      <c r="L1562" s="3"/>
      <c r="M1562" s="3"/>
      <c r="N1562" s="3"/>
      <c r="O1562" s="3"/>
      <c r="P1562" s="3"/>
      <c r="Q1562" s="3"/>
      <c r="R1562" s="3"/>
      <c r="S1562" s="3"/>
      <c r="T1562" s="3"/>
      <c r="U1562" s="3"/>
      <c r="V1562" s="3"/>
      <c r="W1562" s="3"/>
      <c r="X1562" s="3"/>
      <c r="Y1562" s="3"/>
    </row>
    <row r="1563">
      <c r="A1563" s="5"/>
      <c r="B1563" s="5"/>
      <c r="C1563" s="5"/>
      <c r="D1563" s="5"/>
      <c r="E1563" s="3"/>
      <c r="F1563" s="5"/>
      <c r="G1563" s="5"/>
      <c r="H1563" s="5"/>
      <c r="I1563" s="3"/>
      <c r="J1563" s="3"/>
      <c r="K1563" s="3"/>
      <c r="L1563" s="3"/>
      <c r="M1563" s="3"/>
      <c r="N1563" s="3"/>
      <c r="O1563" s="3"/>
      <c r="P1563" s="3"/>
      <c r="Q1563" s="3"/>
      <c r="R1563" s="3"/>
      <c r="S1563" s="3"/>
      <c r="T1563" s="3"/>
      <c r="U1563" s="3"/>
      <c r="V1563" s="3"/>
      <c r="W1563" s="3"/>
      <c r="X1563" s="3"/>
      <c r="Y1563" s="3"/>
    </row>
    <row r="1564">
      <c r="A1564" s="5"/>
      <c r="B1564" s="5"/>
      <c r="C1564" s="5"/>
      <c r="D1564" s="5"/>
      <c r="E1564" s="3"/>
      <c r="F1564" s="5"/>
      <c r="G1564" s="5"/>
      <c r="H1564" s="5"/>
      <c r="I1564" s="3"/>
      <c r="J1564" s="3"/>
      <c r="K1564" s="3"/>
      <c r="L1564" s="3"/>
      <c r="M1564" s="3"/>
      <c r="N1564" s="3"/>
      <c r="O1564" s="3"/>
      <c r="P1564" s="3"/>
      <c r="Q1564" s="3"/>
      <c r="R1564" s="3"/>
      <c r="S1564" s="3"/>
      <c r="T1564" s="3"/>
      <c r="U1564" s="3"/>
      <c r="V1564" s="3"/>
      <c r="W1564" s="3"/>
      <c r="X1564" s="3"/>
      <c r="Y1564" s="3"/>
    </row>
    <row r="1565">
      <c r="A1565" s="5"/>
      <c r="B1565" s="5"/>
      <c r="C1565" s="5"/>
      <c r="D1565" s="5"/>
      <c r="E1565" s="3"/>
      <c r="F1565" s="5"/>
      <c r="G1565" s="5"/>
      <c r="H1565" s="5"/>
      <c r="I1565" s="3"/>
      <c r="J1565" s="3"/>
      <c r="K1565" s="3"/>
      <c r="L1565" s="3"/>
      <c r="M1565" s="3"/>
      <c r="N1565" s="3"/>
      <c r="O1565" s="3"/>
      <c r="P1565" s="3"/>
      <c r="Q1565" s="3"/>
      <c r="R1565" s="3"/>
      <c r="S1565" s="3"/>
      <c r="T1565" s="3"/>
      <c r="U1565" s="3"/>
      <c r="V1565" s="3"/>
      <c r="W1565" s="3"/>
      <c r="X1565" s="3"/>
      <c r="Y1565" s="3"/>
    </row>
    <row r="1566">
      <c r="A1566" s="5"/>
      <c r="B1566" s="5"/>
      <c r="C1566" s="5"/>
      <c r="D1566" s="5"/>
      <c r="E1566" s="3"/>
      <c r="F1566" s="5"/>
      <c r="G1566" s="5"/>
      <c r="H1566" s="5"/>
      <c r="I1566" s="3"/>
      <c r="J1566" s="3"/>
      <c r="K1566" s="3"/>
      <c r="L1566" s="3"/>
      <c r="M1566" s="3"/>
      <c r="N1566" s="3"/>
      <c r="O1566" s="3"/>
      <c r="P1566" s="3"/>
      <c r="Q1566" s="3"/>
      <c r="R1566" s="3"/>
      <c r="S1566" s="3"/>
      <c r="T1566" s="3"/>
      <c r="U1566" s="3"/>
      <c r="V1566" s="3"/>
      <c r="W1566" s="3"/>
      <c r="X1566" s="3"/>
      <c r="Y1566" s="3"/>
    </row>
    <row r="1567">
      <c r="A1567" s="5"/>
      <c r="B1567" s="5"/>
      <c r="C1567" s="5"/>
      <c r="D1567" s="5"/>
      <c r="E1567" s="3"/>
      <c r="F1567" s="5"/>
      <c r="G1567" s="5"/>
      <c r="H1567" s="5"/>
      <c r="I1567" s="3"/>
      <c r="J1567" s="3"/>
      <c r="K1567" s="3"/>
      <c r="L1567" s="3"/>
      <c r="M1567" s="3"/>
      <c r="N1567" s="3"/>
      <c r="O1567" s="3"/>
      <c r="P1567" s="3"/>
      <c r="Q1567" s="3"/>
      <c r="R1567" s="3"/>
      <c r="S1567" s="3"/>
      <c r="T1567" s="3"/>
      <c r="U1567" s="3"/>
      <c r="V1567" s="3"/>
      <c r="W1567" s="3"/>
      <c r="X1567" s="3"/>
      <c r="Y1567" s="3"/>
    </row>
    <row r="1568">
      <c r="A1568" s="5"/>
      <c r="B1568" s="5"/>
      <c r="C1568" s="5"/>
      <c r="D1568" s="5"/>
      <c r="E1568" s="3"/>
      <c r="F1568" s="5"/>
      <c r="G1568" s="5"/>
      <c r="H1568" s="5"/>
      <c r="I1568" s="3"/>
      <c r="J1568" s="3"/>
      <c r="K1568" s="3"/>
      <c r="L1568" s="3"/>
      <c r="M1568" s="3"/>
      <c r="N1568" s="3"/>
      <c r="O1568" s="3"/>
      <c r="P1568" s="3"/>
      <c r="Q1568" s="3"/>
      <c r="R1568" s="3"/>
      <c r="S1568" s="3"/>
      <c r="T1568" s="3"/>
      <c r="U1568" s="3"/>
      <c r="V1568" s="3"/>
      <c r="W1568" s="3"/>
      <c r="X1568" s="3"/>
      <c r="Y1568" s="3"/>
    </row>
    <row r="1569">
      <c r="A1569" s="5"/>
      <c r="B1569" s="5"/>
      <c r="C1569" s="5"/>
      <c r="D1569" s="5"/>
      <c r="E1569" s="3"/>
      <c r="F1569" s="5"/>
      <c r="G1569" s="5"/>
      <c r="H1569" s="5"/>
      <c r="I1569" s="3"/>
      <c r="J1569" s="3"/>
      <c r="K1569" s="3"/>
      <c r="L1569" s="3"/>
      <c r="M1569" s="3"/>
      <c r="N1569" s="3"/>
      <c r="O1569" s="3"/>
      <c r="P1569" s="3"/>
      <c r="Q1569" s="3"/>
      <c r="R1569" s="3"/>
      <c r="S1569" s="3"/>
      <c r="T1569" s="3"/>
      <c r="U1569" s="3"/>
      <c r="V1569" s="3"/>
      <c r="W1569" s="3"/>
      <c r="X1569" s="3"/>
      <c r="Y1569" s="3"/>
    </row>
    <row r="1570">
      <c r="A1570" s="5"/>
      <c r="B1570" s="5"/>
      <c r="C1570" s="5"/>
      <c r="D1570" s="5"/>
      <c r="E1570" s="3"/>
      <c r="F1570" s="5"/>
      <c r="G1570" s="5"/>
      <c r="H1570" s="5"/>
      <c r="I1570" s="3"/>
      <c r="J1570" s="3"/>
      <c r="K1570" s="3"/>
      <c r="L1570" s="3"/>
      <c r="M1570" s="3"/>
      <c r="N1570" s="3"/>
      <c r="O1570" s="3"/>
      <c r="P1570" s="3"/>
      <c r="Q1570" s="3"/>
      <c r="R1570" s="3"/>
      <c r="S1570" s="3"/>
      <c r="T1570" s="3"/>
      <c r="U1570" s="3"/>
      <c r="V1570" s="3"/>
      <c r="W1570" s="3"/>
      <c r="X1570" s="3"/>
      <c r="Y1570" s="3"/>
    </row>
    <row r="1571">
      <c r="A1571" s="5"/>
      <c r="B1571" s="5"/>
      <c r="C1571" s="5"/>
      <c r="D1571" s="5"/>
      <c r="E1571" s="3"/>
      <c r="F1571" s="5"/>
      <c r="G1571" s="5"/>
      <c r="H1571" s="5"/>
      <c r="I1571" s="3"/>
      <c r="J1571" s="3"/>
      <c r="K1571" s="3"/>
      <c r="L1571" s="3"/>
      <c r="M1571" s="3"/>
      <c r="N1571" s="3"/>
      <c r="O1571" s="3"/>
      <c r="P1571" s="3"/>
      <c r="Q1571" s="3"/>
      <c r="R1571" s="3"/>
      <c r="S1571" s="3"/>
      <c r="T1571" s="3"/>
      <c r="U1571" s="3"/>
      <c r="V1571" s="3"/>
      <c r="W1571" s="3"/>
      <c r="X1571" s="3"/>
      <c r="Y1571" s="3"/>
    </row>
    <row r="1572">
      <c r="A1572" s="5"/>
      <c r="B1572" s="5"/>
      <c r="C1572" s="5"/>
      <c r="D1572" s="5"/>
      <c r="E1572" s="3"/>
      <c r="F1572" s="5"/>
      <c r="G1572" s="5"/>
      <c r="H1572" s="5"/>
      <c r="I1572" s="3"/>
      <c r="J1572" s="3"/>
      <c r="K1572" s="3"/>
      <c r="L1572" s="3"/>
      <c r="M1572" s="3"/>
      <c r="N1572" s="3"/>
      <c r="O1572" s="3"/>
      <c r="P1572" s="3"/>
      <c r="Q1572" s="3"/>
      <c r="R1572" s="3"/>
      <c r="S1572" s="3"/>
      <c r="T1572" s="3"/>
      <c r="U1572" s="3"/>
      <c r="V1572" s="3"/>
      <c r="W1572" s="3"/>
      <c r="X1572" s="3"/>
      <c r="Y1572" s="3"/>
    </row>
    <row r="1573">
      <c r="A1573" s="5"/>
      <c r="B1573" s="5"/>
      <c r="C1573" s="5"/>
      <c r="D1573" s="5"/>
      <c r="E1573" s="3"/>
      <c r="F1573" s="5"/>
      <c r="G1573" s="5"/>
      <c r="H1573" s="5"/>
      <c r="I1573" s="3"/>
      <c r="J1573" s="3"/>
      <c r="K1573" s="3"/>
      <c r="L1573" s="3"/>
      <c r="M1573" s="3"/>
      <c r="N1573" s="3"/>
      <c r="O1573" s="3"/>
      <c r="P1573" s="3"/>
      <c r="Q1573" s="3"/>
      <c r="R1573" s="3"/>
      <c r="S1573" s="3"/>
      <c r="T1573" s="3"/>
      <c r="U1573" s="3"/>
      <c r="V1573" s="3"/>
      <c r="W1573" s="3"/>
      <c r="X1573" s="3"/>
      <c r="Y1573" s="3"/>
    </row>
    <row r="1574">
      <c r="A1574" s="5"/>
      <c r="B1574" s="5"/>
      <c r="C1574" s="5"/>
      <c r="D1574" s="5"/>
      <c r="E1574" s="3"/>
      <c r="F1574" s="5"/>
      <c r="G1574" s="5"/>
      <c r="H1574" s="5"/>
      <c r="I1574" s="3"/>
      <c r="J1574" s="3"/>
      <c r="K1574" s="3"/>
      <c r="L1574" s="3"/>
      <c r="M1574" s="3"/>
      <c r="N1574" s="3"/>
      <c r="O1574" s="3"/>
      <c r="P1574" s="3"/>
      <c r="Q1574" s="3"/>
      <c r="R1574" s="3"/>
      <c r="S1574" s="3"/>
      <c r="T1574" s="3"/>
      <c r="U1574" s="3"/>
      <c r="V1574" s="3"/>
      <c r="W1574" s="3"/>
      <c r="X1574" s="3"/>
      <c r="Y1574" s="3"/>
    </row>
    <row r="1575">
      <c r="A1575" s="5"/>
      <c r="B1575" s="5"/>
      <c r="C1575" s="5"/>
      <c r="D1575" s="5"/>
      <c r="E1575" s="3"/>
      <c r="F1575" s="5"/>
      <c r="G1575" s="5"/>
      <c r="H1575" s="5"/>
      <c r="I1575" s="3"/>
      <c r="J1575" s="3"/>
      <c r="K1575" s="3"/>
      <c r="L1575" s="3"/>
      <c r="M1575" s="3"/>
      <c r="N1575" s="3"/>
      <c r="O1575" s="3"/>
      <c r="P1575" s="3"/>
      <c r="Q1575" s="3"/>
      <c r="R1575" s="3"/>
      <c r="S1575" s="3"/>
      <c r="T1575" s="3"/>
      <c r="U1575" s="3"/>
      <c r="V1575" s="3"/>
      <c r="W1575" s="3"/>
      <c r="X1575" s="3"/>
      <c r="Y1575" s="3"/>
    </row>
    <row r="1576">
      <c r="A1576" s="5"/>
      <c r="B1576" s="5"/>
      <c r="C1576" s="5"/>
      <c r="D1576" s="5"/>
      <c r="E1576" s="3"/>
      <c r="F1576" s="5"/>
      <c r="G1576" s="5"/>
      <c r="H1576" s="5"/>
      <c r="I1576" s="3"/>
      <c r="J1576" s="3"/>
      <c r="K1576" s="3"/>
      <c r="L1576" s="3"/>
      <c r="M1576" s="3"/>
      <c r="N1576" s="3"/>
      <c r="O1576" s="3"/>
      <c r="P1576" s="3"/>
      <c r="Q1576" s="3"/>
      <c r="R1576" s="3"/>
      <c r="S1576" s="3"/>
      <c r="T1576" s="3"/>
      <c r="U1576" s="3"/>
      <c r="V1576" s="3"/>
      <c r="W1576" s="3"/>
      <c r="X1576" s="3"/>
      <c r="Y1576" s="3"/>
    </row>
    <row r="1577">
      <c r="A1577" s="5"/>
      <c r="B1577" s="5"/>
      <c r="C1577" s="5"/>
      <c r="D1577" s="5"/>
      <c r="E1577" s="3"/>
      <c r="F1577" s="5"/>
      <c r="G1577" s="5"/>
      <c r="H1577" s="5"/>
      <c r="I1577" s="3"/>
      <c r="J1577" s="3"/>
      <c r="K1577" s="3"/>
      <c r="L1577" s="3"/>
      <c r="M1577" s="3"/>
      <c r="N1577" s="3"/>
      <c r="O1577" s="3"/>
      <c r="P1577" s="3"/>
      <c r="Q1577" s="3"/>
      <c r="R1577" s="3"/>
      <c r="S1577" s="3"/>
      <c r="T1577" s="3"/>
      <c r="U1577" s="3"/>
      <c r="V1577" s="3"/>
      <c r="W1577" s="3"/>
      <c r="X1577" s="3"/>
      <c r="Y1577" s="3"/>
    </row>
    <row r="1578">
      <c r="A1578" s="5"/>
      <c r="B1578" s="5"/>
      <c r="C1578" s="5"/>
      <c r="D1578" s="5"/>
      <c r="E1578" s="3"/>
      <c r="F1578" s="5"/>
      <c r="G1578" s="5"/>
      <c r="H1578" s="5"/>
      <c r="I1578" s="3"/>
      <c r="J1578" s="3"/>
      <c r="K1578" s="3"/>
      <c r="L1578" s="3"/>
      <c r="M1578" s="3"/>
      <c r="N1578" s="3"/>
      <c r="O1578" s="3"/>
      <c r="P1578" s="3"/>
      <c r="Q1578" s="3"/>
      <c r="R1578" s="3"/>
      <c r="S1578" s="3"/>
      <c r="T1578" s="3"/>
      <c r="U1578" s="3"/>
      <c r="V1578" s="3"/>
      <c r="W1578" s="3"/>
      <c r="X1578" s="3"/>
      <c r="Y1578" s="3"/>
    </row>
    <row r="1579">
      <c r="A1579" s="5"/>
      <c r="B1579" s="5"/>
      <c r="C1579" s="5"/>
      <c r="D1579" s="5"/>
      <c r="E1579" s="3"/>
      <c r="F1579" s="5"/>
      <c r="G1579" s="5"/>
      <c r="H1579" s="5"/>
      <c r="I1579" s="3"/>
      <c r="J1579" s="3"/>
      <c r="K1579" s="3"/>
      <c r="L1579" s="3"/>
      <c r="M1579" s="3"/>
      <c r="N1579" s="3"/>
      <c r="O1579" s="3"/>
      <c r="P1579" s="3"/>
      <c r="Q1579" s="3"/>
      <c r="R1579" s="3"/>
      <c r="S1579" s="3"/>
      <c r="T1579" s="3"/>
      <c r="U1579" s="3"/>
      <c r="V1579" s="3"/>
      <c r="W1579" s="3"/>
      <c r="X1579" s="3"/>
      <c r="Y1579" s="3"/>
    </row>
    <row r="1580">
      <c r="A1580" s="5"/>
      <c r="B1580" s="5"/>
      <c r="C1580" s="5"/>
      <c r="D1580" s="5"/>
      <c r="E1580" s="3"/>
      <c r="F1580" s="5"/>
      <c r="G1580" s="5"/>
      <c r="H1580" s="5"/>
      <c r="I1580" s="3"/>
      <c r="J1580" s="3"/>
      <c r="K1580" s="3"/>
      <c r="L1580" s="3"/>
      <c r="M1580" s="3"/>
      <c r="N1580" s="3"/>
      <c r="O1580" s="3"/>
      <c r="P1580" s="3"/>
      <c r="Q1580" s="3"/>
      <c r="R1580" s="3"/>
      <c r="S1580" s="3"/>
      <c r="T1580" s="3"/>
      <c r="U1580" s="3"/>
      <c r="V1580" s="3"/>
      <c r="W1580" s="3"/>
      <c r="X1580" s="3"/>
      <c r="Y1580" s="3"/>
    </row>
    <row r="1581">
      <c r="A1581" s="5"/>
      <c r="B1581" s="5"/>
      <c r="C1581" s="5"/>
      <c r="D1581" s="5"/>
      <c r="E1581" s="3"/>
      <c r="F1581" s="5"/>
      <c r="G1581" s="5"/>
      <c r="H1581" s="5"/>
      <c r="I1581" s="3"/>
      <c r="J1581" s="3"/>
      <c r="K1581" s="3"/>
      <c r="L1581" s="3"/>
      <c r="M1581" s="3"/>
      <c r="N1581" s="3"/>
      <c r="O1581" s="3"/>
      <c r="P1581" s="3"/>
      <c r="Q1581" s="3"/>
      <c r="R1581" s="3"/>
      <c r="S1581" s="3"/>
      <c r="T1581" s="3"/>
      <c r="U1581" s="3"/>
      <c r="V1581" s="3"/>
      <c r="W1581" s="3"/>
      <c r="X1581" s="3"/>
      <c r="Y1581" s="3"/>
    </row>
    <row r="1582">
      <c r="A1582" s="5"/>
      <c r="B1582" s="5"/>
      <c r="C1582" s="5"/>
      <c r="D1582" s="5"/>
      <c r="E1582" s="3"/>
      <c r="F1582" s="5"/>
      <c r="G1582" s="5"/>
      <c r="H1582" s="5"/>
      <c r="I1582" s="3"/>
      <c r="J1582" s="3"/>
      <c r="K1582" s="3"/>
      <c r="L1582" s="3"/>
      <c r="M1582" s="3"/>
      <c r="N1582" s="3"/>
      <c r="O1582" s="3"/>
      <c r="P1582" s="3"/>
      <c r="Q1582" s="3"/>
      <c r="R1582" s="3"/>
      <c r="S1582" s="3"/>
      <c r="T1582" s="3"/>
      <c r="U1582" s="3"/>
      <c r="V1582" s="3"/>
      <c r="W1582" s="3"/>
      <c r="X1582" s="3"/>
      <c r="Y1582" s="3"/>
    </row>
    <row r="1583">
      <c r="A1583" s="5"/>
      <c r="B1583" s="5"/>
      <c r="C1583" s="5"/>
      <c r="D1583" s="5"/>
      <c r="E1583" s="3"/>
      <c r="F1583" s="5"/>
      <c r="G1583" s="5"/>
      <c r="H1583" s="5"/>
      <c r="I1583" s="3"/>
      <c r="J1583" s="3"/>
      <c r="K1583" s="3"/>
      <c r="L1583" s="3"/>
      <c r="M1583" s="3"/>
      <c r="N1583" s="3"/>
      <c r="O1583" s="3"/>
      <c r="P1583" s="3"/>
      <c r="Q1583" s="3"/>
      <c r="R1583" s="3"/>
      <c r="S1583" s="3"/>
      <c r="T1583" s="3"/>
      <c r="U1583" s="3"/>
      <c r="V1583" s="3"/>
      <c r="W1583" s="3"/>
      <c r="X1583" s="3"/>
      <c r="Y1583" s="3"/>
    </row>
    <row r="1584">
      <c r="A1584" s="5"/>
      <c r="B1584" s="5"/>
      <c r="C1584" s="5"/>
      <c r="D1584" s="5"/>
      <c r="E1584" s="3"/>
      <c r="F1584" s="5"/>
      <c r="G1584" s="5"/>
      <c r="H1584" s="5"/>
      <c r="I1584" s="3"/>
      <c r="J1584" s="3"/>
      <c r="K1584" s="3"/>
      <c r="L1584" s="3"/>
      <c r="M1584" s="3"/>
      <c r="N1584" s="3"/>
      <c r="O1584" s="3"/>
      <c r="P1584" s="3"/>
      <c r="Q1584" s="3"/>
      <c r="R1584" s="3"/>
      <c r="S1584" s="3"/>
      <c r="T1584" s="3"/>
      <c r="U1584" s="3"/>
      <c r="V1584" s="3"/>
      <c r="W1584" s="3"/>
      <c r="X1584" s="3"/>
      <c r="Y1584" s="3"/>
    </row>
    <row r="1585">
      <c r="A1585" s="5"/>
      <c r="B1585" s="5"/>
      <c r="C1585" s="5"/>
      <c r="D1585" s="5"/>
      <c r="E1585" s="3"/>
      <c r="F1585" s="5"/>
      <c r="G1585" s="5"/>
      <c r="H1585" s="5"/>
      <c r="I1585" s="3"/>
      <c r="J1585" s="3"/>
      <c r="K1585" s="3"/>
      <c r="L1585" s="3"/>
      <c r="M1585" s="3"/>
      <c r="N1585" s="3"/>
      <c r="O1585" s="3"/>
      <c r="P1585" s="3"/>
      <c r="Q1585" s="3"/>
      <c r="R1585" s="3"/>
      <c r="S1585" s="3"/>
      <c r="T1585" s="3"/>
      <c r="U1585" s="3"/>
      <c r="V1585" s="3"/>
      <c r="W1585" s="3"/>
      <c r="X1585" s="3"/>
      <c r="Y1585" s="3"/>
    </row>
    <row r="1586">
      <c r="A1586" s="5"/>
      <c r="B1586" s="5"/>
      <c r="C1586" s="5"/>
      <c r="D1586" s="5"/>
      <c r="E1586" s="3"/>
      <c r="F1586" s="5"/>
      <c r="G1586" s="5"/>
      <c r="H1586" s="5"/>
      <c r="I1586" s="3"/>
      <c r="J1586" s="3"/>
      <c r="K1586" s="3"/>
      <c r="L1586" s="3"/>
      <c r="M1586" s="3"/>
      <c r="N1586" s="3"/>
      <c r="O1586" s="3"/>
      <c r="P1586" s="3"/>
      <c r="Q1586" s="3"/>
      <c r="R1586" s="3"/>
      <c r="S1586" s="3"/>
      <c r="T1586" s="3"/>
      <c r="U1586" s="3"/>
      <c r="V1586" s="3"/>
      <c r="W1586" s="3"/>
      <c r="X1586" s="3"/>
      <c r="Y1586" s="3"/>
    </row>
    <row r="1587">
      <c r="A1587" s="5"/>
      <c r="B1587" s="5"/>
      <c r="C1587" s="5"/>
      <c r="D1587" s="5"/>
      <c r="E1587" s="3"/>
      <c r="F1587" s="5"/>
      <c r="G1587" s="5"/>
      <c r="H1587" s="5"/>
      <c r="I1587" s="3"/>
      <c r="J1587" s="3"/>
      <c r="K1587" s="3"/>
      <c r="L1587" s="3"/>
      <c r="M1587" s="3"/>
      <c r="N1587" s="3"/>
      <c r="O1587" s="3"/>
      <c r="P1587" s="3"/>
      <c r="Q1587" s="3"/>
      <c r="R1587" s="3"/>
      <c r="S1587" s="3"/>
      <c r="T1587" s="3"/>
      <c r="U1587" s="3"/>
      <c r="V1587" s="3"/>
      <c r="W1587" s="3"/>
      <c r="X1587" s="3"/>
      <c r="Y1587" s="3"/>
    </row>
    <row r="1588">
      <c r="A1588" s="5"/>
      <c r="B1588" s="5"/>
      <c r="C1588" s="5"/>
      <c r="D1588" s="5"/>
      <c r="E1588" s="3"/>
      <c r="F1588" s="5"/>
      <c r="G1588" s="5"/>
      <c r="H1588" s="5"/>
      <c r="I1588" s="3"/>
      <c r="J1588" s="3"/>
      <c r="K1588" s="3"/>
      <c r="L1588" s="3"/>
      <c r="M1588" s="3"/>
      <c r="N1588" s="3"/>
      <c r="O1588" s="3"/>
      <c r="P1588" s="3"/>
      <c r="Q1588" s="3"/>
      <c r="R1588" s="3"/>
      <c r="S1588" s="3"/>
      <c r="T1588" s="3"/>
      <c r="U1588" s="3"/>
      <c r="V1588" s="3"/>
      <c r="W1588" s="3"/>
      <c r="X1588" s="3"/>
      <c r="Y1588" s="3"/>
    </row>
    <row r="1589">
      <c r="A1589" s="5"/>
      <c r="B1589" s="5"/>
      <c r="C1589" s="5"/>
      <c r="D1589" s="5"/>
      <c r="E1589" s="3"/>
      <c r="F1589" s="5"/>
      <c r="G1589" s="5"/>
      <c r="H1589" s="5"/>
      <c r="I1589" s="3"/>
      <c r="J1589" s="3"/>
      <c r="K1589" s="3"/>
      <c r="L1589" s="3"/>
      <c r="M1589" s="3"/>
      <c r="N1589" s="3"/>
      <c r="O1589" s="3"/>
      <c r="P1589" s="3"/>
      <c r="Q1589" s="3"/>
      <c r="R1589" s="3"/>
      <c r="S1589" s="3"/>
      <c r="T1589" s="3"/>
      <c r="U1589" s="3"/>
      <c r="V1589" s="3"/>
      <c r="W1589" s="3"/>
      <c r="X1589" s="3"/>
      <c r="Y1589" s="3"/>
    </row>
    <row r="1590">
      <c r="A1590" s="5"/>
      <c r="B1590" s="5"/>
      <c r="C1590" s="5"/>
      <c r="D1590" s="5"/>
      <c r="E1590" s="3"/>
      <c r="F1590" s="5"/>
      <c r="G1590" s="5"/>
      <c r="H1590" s="5"/>
      <c r="I1590" s="3"/>
      <c r="J1590" s="3"/>
      <c r="K1590" s="3"/>
      <c r="L1590" s="3"/>
      <c r="M1590" s="3"/>
      <c r="N1590" s="3"/>
      <c r="O1590" s="3"/>
      <c r="P1590" s="3"/>
      <c r="Q1590" s="3"/>
      <c r="R1590" s="3"/>
      <c r="S1590" s="3"/>
      <c r="T1590" s="3"/>
      <c r="U1590" s="3"/>
      <c r="V1590" s="3"/>
      <c r="W1590" s="3"/>
      <c r="X1590" s="3"/>
      <c r="Y1590" s="3"/>
    </row>
    <row r="1591">
      <c r="A1591" s="5"/>
      <c r="B1591" s="5"/>
      <c r="C1591" s="5"/>
      <c r="D1591" s="5"/>
      <c r="E1591" s="3"/>
      <c r="F1591" s="5"/>
      <c r="G1591" s="5"/>
      <c r="H1591" s="5"/>
      <c r="I1591" s="3"/>
      <c r="J1591" s="3"/>
      <c r="K1591" s="3"/>
      <c r="L1591" s="3"/>
      <c r="M1591" s="3"/>
      <c r="N1591" s="3"/>
      <c r="O1591" s="3"/>
      <c r="P1591" s="3"/>
      <c r="Q1591" s="3"/>
      <c r="R1591" s="3"/>
      <c r="S1591" s="3"/>
      <c r="T1591" s="3"/>
      <c r="U1591" s="3"/>
      <c r="V1591" s="3"/>
      <c r="W1591" s="3"/>
      <c r="X1591" s="3"/>
      <c r="Y1591" s="3"/>
    </row>
    <row r="1592">
      <c r="A1592" s="5"/>
      <c r="B1592" s="5"/>
      <c r="C1592" s="5"/>
      <c r="D1592" s="5"/>
      <c r="E1592" s="3"/>
      <c r="F1592" s="5"/>
      <c r="G1592" s="5"/>
      <c r="H1592" s="5"/>
      <c r="I1592" s="3"/>
      <c r="J1592" s="3"/>
      <c r="K1592" s="3"/>
      <c r="L1592" s="3"/>
      <c r="M1592" s="3"/>
      <c r="N1592" s="3"/>
      <c r="O1592" s="3"/>
      <c r="P1592" s="3"/>
      <c r="Q1592" s="3"/>
      <c r="R1592" s="3"/>
      <c r="S1592" s="3"/>
      <c r="T1592" s="3"/>
      <c r="U1592" s="3"/>
      <c r="V1592" s="3"/>
      <c r="W1592" s="3"/>
      <c r="X1592" s="3"/>
      <c r="Y1592" s="3"/>
    </row>
    <row r="1593">
      <c r="A1593" s="5"/>
      <c r="B1593" s="5"/>
      <c r="C1593" s="5"/>
      <c r="D1593" s="5"/>
      <c r="E1593" s="3"/>
      <c r="F1593" s="5"/>
      <c r="G1593" s="5"/>
      <c r="H1593" s="5"/>
      <c r="I1593" s="3"/>
      <c r="J1593" s="3"/>
      <c r="K1593" s="3"/>
      <c r="L1593" s="3"/>
      <c r="M1593" s="3"/>
      <c r="N1593" s="3"/>
      <c r="O1593" s="3"/>
      <c r="P1593" s="3"/>
      <c r="Q1593" s="3"/>
      <c r="R1593" s="3"/>
      <c r="S1593" s="3"/>
      <c r="T1593" s="3"/>
      <c r="U1593" s="3"/>
      <c r="V1593" s="3"/>
      <c r="W1593" s="3"/>
      <c r="X1593" s="3"/>
      <c r="Y1593" s="3"/>
    </row>
    <row r="1594">
      <c r="A1594" s="5"/>
      <c r="B1594" s="5"/>
      <c r="C1594" s="5"/>
      <c r="D1594" s="5"/>
      <c r="E1594" s="3"/>
      <c r="F1594" s="5"/>
      <c r="G1594" s="5"/>
      <c r="H1594" s="5"/>
      <c r="I1594" s="3"/>
      <c r="J1594" s="3"/>
      <c r="K1594" s="3"/>
      <c r="L1594" s="3"/>
      <c r="M1594" s="3"/>
      <c r="N1594" s="3"/>
      <c r="O1594" s="3"/>
      <c r="P1594" s="3"/>
      <c r="Q1594" s="3"/>
      <c r="R1594" s="3"/>
      <c r="S1594" s="3"/>
      <c r="T1594" s="3"/>
      <c r="U1594" s="3"/>
      <c r="V1594" s="3"/>
      <c r="W1594" s="3"/>
      <c r="X1594" s="3"/>
      <c r="Y1594" s="3"/>
    </row>
    <row r="1595">
      <c r="A1595" s="5"/>
      <c r="B1595" s="5"/>
      <c r="C1595" s="5"/>
      <c r="D1595" s="5"/>
      <c r="E1595" s="3"/>
      <c r="F1595" s="5"/>
      <c r="G1595" s="5"/>
      <c r="H1595" s="5"/>
      <c r="I1595" s="3"/>
      <c r="J1595" s="3"/>
      <c r="K1595" s="3"/>
      <c r="L1595" s="3"/>
      <c r="M1595" s="3"/>
      <c r="N1595" s="3"/>
      <c r="O1595" s="3"/>
      <c r="P1595" s="3"/>
      <c r="Q1595" s="3"/>
      <c r="R1595" s="3"/>
      <c r="S1595" s="3"/>
      <c r="T1595" s="3"/>
      <c r="U1595" s="3"/>
      <c r="V1595" s="3"/>
      <c r="W1595" s="3"/>
      <c r="X1595" s="3"/>
      <c r="Y1595" s="3"/>
    </row>
    <row r="1596">
      <c r="A1596" s="5"/>
      <c r="B1596" s="5"/>
      <c r="C1596" s="5"/>
      <c r="D1596" s="5"/>
      <c r="E1596" s="3"/>
      <c r="F1596" s="5"/>
      <c r="G1596" s="5"/>
      <c r="H1596" s="5"/>
      <c r="I1596" s="3"/>
      <c r="J1596" s="3"/>
      <c r="K1596" s="3"/>
      <c r="L1596" s="3"/>
      <c r="M1596" s="3"/>
      <c r="N1596" s="3"/>
      <c r="O1596" s="3"/>
      <c r="P1596" s="3"/>
      <c r="Q1596" s="3"/>
      <c r="R1596" s="3"/>
      <c r="S1596" s="3"/>
      <c r="T1596" s="3"/>
      <c r="U1596" s="3"/>
      <c r="V1596" s="3"/>
      <c r="W1596" s="3"/>
      <c r="X1596" s="3"/>
      <c r="Y1596" s="3"/>
    </row>
    <row r="1597">
      <c r="A1597" s="5"/>
      <c r="B1597" s="5"/>
      <c r="C1597" s="5"/>
      <c r="D1597" s="5"/>
      <c r="E1597" s="3"/>
      <c r="F1597" s="5"/>
      <c r="G1597" s="5"/>
      <c r="H1597" s="5"/>
      <c r="I1597" s="3"/>
      <c r="J1597" s="3"/>
      <c r="K1597" s="3"/>
      <c r="L1597" s="3"/>
      <c r="M1597" s="3"/>
      <c r="N1597" s="3"/>
      <c r="O1597" s="3"/>
      <c r="P1597" s="3"/>
      <c r="Q1597" s="3"/>
      <c r="R1597" s="3"/>
      <c r="S1597" s="3"/>
      <c r="T1597" s="3"/>
      <c r="U1597" s="3"/>
      <c r="V1597" s="3"/>
      <c r="W1597" s="3"/>
      <c r="X1597" s="3"/>
      <c r="Y1597" s="3"/>
    </row>
    <row r="1598">
      <c r="A1598" s="5"/>
      <c r="B1598" s="5"/>
      <c r="C1598" s="5"/>
      <c r="D1598" s="5"/>
      <c r="E1598" s="3"/>
      <c r="F1598" s="5"/>
      <c r="G1598" s="5"/>
      <c r="H1598" s="5"/>
      <c r="I1598" s="3"/>
      <c r="J1598" s="3"/>
      <c r="K1598" s="3"/>
      <c r="L1598" s="3"/>
      <c r="M1598" s="3"/>
      <c r="N1598" s="3"/>
      <c r="O1598" s="3"/>
      <c r="P1598" s="3"/>
      <c r="Q1598" s="3"/>
      <c r="R1598" s="3"/>
      <c r="S1598" s="3"/>
      <c r="T1598" s="3"/>
      <c r="U1598" s="3"/>
      <c r="V1598" s="3"/>
      <c r="W1598" s="3"/>
      <c r="X1598" s="3"/>
      <c r="Y1598" s="3"/>
    </row>
    <row r="1599">
      <c r="A1599" s="5"/>
      <c r="B1599" s="5"/>
      <c r="C1599" s="5"/>
      <c r="D1599" s="5"/>
      <c r="E1599" s="3"/>
      <c r="F1599" s="5"/>
      <c r="G1599" s="5"/>
      <c r="H1599" s="5"/>
      <c r="I1599" s="3"/>
      <c r="J1599" s="3"/>
      <c r="K1599" s="3"/>
      <c r="L1599" s="3"/>
      <c r="M1599" s="3"/>
      <c r="N1599" s="3"/>
      <c r="O1599" s="3"/>
      <c r="P1599" s="3"/>
      <c r="Q1599" s="3"/>
      <c r="R1599" s="3"/>
      <c r="S1599" s="3"/>
      <c r="T1599" s="3"/>
      <c r="U1599" s="3"/>
      <c r="V1599" s="3"/>
      <c r="W1599" s="3"/>
      <c r="X1599" s="3"/>
      <c r="Y1599" s="3"/>
    </row>
    <row r="1600">
      <c r="A1600" s="5"/>
      <c r="B1600" s="5"/>
      <c r="C1600" s="5"/>
      <c r="D1600" s="5"/>
      <c r="E1600" s="3"/>
      <c r="F1600" s="5"/>
      <c r="G1600" s="5"/>
      <c r="H1600" s="5"/>
      <c r="I1600" s="3"/>
      <c r="J1600" s="3"/>
      <c r="K1600" s="3"/>
      <c r="L1600" s="3"/>
      <c r="M1600" s="3"/>
      <c r="N1600" s="3"/>
      <c r="O1600" s="3"/>
      <c r="P1600" s="3"/>
      <c r="Q1600" s="3"/>
      <c r="R1600" s="3"/>
      <c r="S1600" s="3"/>
      <c r="T1600" s="3"/>
      <c r="U1600" s="3"/>
      <c r="V1600" s="3"/>
      <c r="W1600" s="3"/>
      <c r="X1600" s="3"/>
      <c r="Y1600" s="3"/>
    </row>
    <row r="1601">
      <c r="A1601" s="5"/>
      <c r="B1601" s="5"/>
      <c r="C1601" s="5"/>
      <c r="D1601" s="5"/>
      <c r="E1601" s="3"/>
      <c r="F1601" s="5"/>
      <c r="G1601" s="5"/>
      <c r="H1601" s="5"/>
      <c r="I1601" s="3"/>
      <c r="J1601" s="3"/>
      <c r="K1601" s="3"/>
      <c r="L1601" s="3"/>
      <c r="M1601" s="3"/>
      <c r="N1601" s="3"/>
      <c r="O1601" s="3"/>
      <c r="P1601" s="3"/>
      <c r="Q1601" s="3"/>
      <c r="R1601" s="3"/>
      <c r="S1601" s="3"/>
      <c r="T1601" s="3"/>
      <c r="U1601" s="3"/>
      <c r="V1601" s="3"/>
      <c r="W1601" s="3"/>
      <c r="X1601" s="3"/>
      <c r="Y1601" s="3"/>
    </row>
    <row r="1602">
      <c r="A1602" s="5"/>
      <c r="B1602" s="5"/>
      <c r="C1602" s="5"/>
      <c r="D1602" s="5"/>
      <c r="E1602" s="3"/>
      <c r="F1602" s="5"/>
      <c r="G1602" s="5"/>
      <c r="H1602" s="5"/>
      <c r="I1602" s="3"/>
      <c r="J1602" s="3"/>
      <c r="K1602" s="3"/>
      <c r="L1602" s="3"/>
      <c r="M1602" s="3"/>
      <c r="N1602" s="3"/>
      <c r="O1602" s="3"/>
      <c r="P1602" s="3"/>
      <c r="Q1602" s="3"/>
      <c r="R1602" s="3"/>
      <c r="S1602" s="3"/>
      <c r="T1602" s="3"/>
      <c r="U1602" s="3"/>
      <c r="V1602" s="3"/>
      <c r="W1602" s="3"/>
      <c r="X1602" s="3"/>
      <c r="Y1602" s="3"/>
    </row>
    <row r="1603">
      <c r="A1603" s="5"/>
      <c r="B1603" s="5"/>
      <c r="C1603" s="5"/>
      <c r="D1603" s="5"/>
      <c r="E1603" s="3"/>
      <c r="F1603" s="5"/>
      <c r="G1603" s="5"/>
      <c r="H1603" s="5"/>
      <c r="I1603" s="3"/>
      <c r="J1603" s="3"/>
      <c r="K1603" s="3"/>
      <c r="L1603" s="3"/>
      <c r="M1603" s="3"/>
      <c r="N1603" s="3"/>
      <c r="O1603" s="3"/>
      <c r="P1603" s="3"/>
      <c r="Q1603" s="3"/>
      <c r="R1603" s="3"/>
      <c r="S1603" s="3"/>
      <c r="T1603" s="3"/>
      <c r="U1603" s="3"/>
      <c r="V1603" s="3"/>
      <c r="W1603" s="3"/>
      <c r="X1603" s="3"/>
      <c r="Y1603" s="3"/>
    </row>
    <row r="1604">
      <c r="A1604" s="5"/>
      <c r="B1604" s="5"/>
      <c r="C1604" s="5"/>
      <c r="D1604" s="5"/>
      <c r="E1604" s="3"/>
      <c r="F1604" s="5"/>
      <c r="G1604" s="5"/>
      <c r="H1604" s="5"/>
      <c r="I1604" s="3"/>
      <c r="J1604" s="3"/>
      <c r="K1604" s="3"/>
      <c r="L1604" s="3"/>
      <c r="M1604" s="3"/>
      <c r="N1604" s="3"/>
      <c r="O1604" s="3"/>
      <c r="P1604" s="3"/>
      <c r="Q1604" s="3"/>
      <c r="R1604" s="3"/>
      <c r="S1604" s="3"/>
      <c r="T1604" s="3"/>
      <c r="U1604" s="3"/>
      <c r="V1604" s="3"/>
      <c r="W1604" s="3"/>
      <c r="X1604" s="3"/>
      <c r="Y1604" s="3"/>
    </row>
    <row r="1605">
      <c r="A1605" s="5"/>
      <c r="B1605" s="5"/>
      <c r="C1605" s="5"/>
      <c r="D1605" s="5"/>
      <c r="E1605" s="3"/>
      <c r="F1605" s="5"/>
      <c r="G1605" s="5"/>
      <c r="H1605" s="5"/>
      <c r="I1605" s="3"/>
      <c r="J1605" s="3"/>
      <c r="K1605" s="3"/>
      <c r="L1605" s="3"/>
      <c r="M1605" s="3"/>
      <c r="N1605" s="3"/>
      <c r="O1605" s="3"/>
      <c r="P1605" s="3"/>
      <c r="Q1605" s="3"/>
      <c r="R1605" s="3"/>
      <c r="S1605" s="3"/>
      <c r="T1605" s="3"/>
      <c r="U1605" s="3"/>
      <c r="V1605" s="3"/>
      <c r="W1605" s="3"/>
      <c r="X1605" s="3"/>
      <c r="Y1605" s="3"/>
    </row>
    <row r="1606">
      <c r="A1606" s="5"/>
      <c r="B1606" s="5"/>
      <c r="C1606" s="5"/>
      <c r="D1606" s="5"/>
      <c r="E1606" s="3"/>
      <c r="F1606" s="5"/>
      <c r="G1606" s="5"/>
      <c r="H1606" s="5"/>
      <c r="I1606" s="3"/>
      <c r="J1606" s="3"/>
      <c r="K1606" s="3"/>
      <c r="L1606" s="3"/>
      <c r="M1606" s="3"/>
      <c r="N1606" s="3"/>
      <c r="O1606" s="3"/>
      <c r="P1606" s="3"/>
      <c r="Q1606" s="3"/>
      <c r="R1606" s="3"/>
      <c r="S1606" s="3"/>
      <c r="T1606" s="3"/>
      <c r="U1606" s="3"/>
      <c r="V1606" s="3"/>
      <c r="W1606" s="3"/>
      <c r="X1606" s="3"/>
      <c r="Y1606" s="3"/>
    </row>
    <row r="1607">
      <c r="A1607" s="5"/>
      <c r="B1607" s="5"/>
      <c r="C1607" s="5"/>
      <c r="D1607" s="5"/>
      <c r="E1607" s="3"/>
      <c r="F1607" s="5"/>
      <c r="G1607" s="5"/>
      <c r="H1607" s="5"/>
      <c r="I1607" s="3"/>
      <c r="J1607" s="3"/>
      <c r="K1607" s="3"/>
      <c r="L1607" s="3"/>
      <c r="M1607" s="3"/>
      <c r="N1607" s="3"/>
      <c r="O1607" s="3"/>
      <c r="P1607" s="3"/>
      <c r="Q1607" s="3"/>
      <c r="R1607" s="3"/>
      <c r="S1607" s="3"/>
      <c r="T1607" s="3"/>
      <c r="U1607" s="3"/>
      <c r="V1607" s="3"/>
      <c r="W1607" s="3"/>
      <c r="X1607" s="3"/>
      <c r="Y1607" s="3"/>
    </row>
    <row r="1608">
      <c r="A1608" s="5"/>
      <c r="B1608" s="5"/>
      <c r="C1608" s="5"/>
      <c r="D1608" s="5"/>
      <c r="E1608" s="3"/>
      <c r="F1608" s="5"/>
      <c r="G1608" s="5"/>
      <c r="H1608" s="5"/>
      <c r="I1608" s="3"/>
      <c r="J1608" s="3"/>
      <c r="K1608" s="3"/>
      <c r="L1608" s="3"/>
      <c r="M1608" s="3"/>
      <c r="N1608" s="3"/>
      <c r="O1608" s="3"/>
      <c r="P1608" s="3"/>
      <c r="Q1608" s="3"/>
      <c r="R1608" s="3"/>
      <c r="S1608" s="3"/>
      <c r="T1608" s="3"/>
      <c r="U1608" s="3"/>
      <c r="V1608" s="3"/>
      <c r="W1608" s="3"/>
      <c r="X1608" s="3"/>
      <c r="Y1608" s="3"/>
    </row>
    <row r="1609">
      <c r="A1609" s="5"/>
      <c r="B1609" s="5"/>
      <c r="C1609" s="5"/>
      <c r="D1609" s="5"/>
      <c r="E1609" s="3"/>
      <c r="F1609" s="5"/>
      <c r="G1609" s="5"/>
      <c r="H1609" s="5"/>
      <c r="I1609" s="3"/>
      <c r="J1609" s="3"/>
      <c r="K1609" s="3"/>
      <c r="L1609" s="3"/>
      <c r="M1609" s="3"/>
      <c r="N1609" s="3"/>
      <c r="O1609" s="3"/>
      <c r="P1609" s="3"/>
      <c r="Q1609" s="3"/>
      <c r="R1609" s="3"/>
      <c r="S1609" s="3"/>
      <c r="T1609" s="3"/>
      <c r="U1609" s="3"/>
      <c r="V1609" s="3"/>
      <c r="W1609" s="3"/>
      <c r="X1609" s="3"/>
      <c r="Y1609" s="3"/>
    </row>
    <row r="1610">
      <c r="A1610" s="5"/>
      <c r="B1610" s="5"/>
      <c r="C1610" s="5"/>
      <c r="D1610" s="5"/>
      <c r="E1610" s="3"/>
      <c r="F1610" s="5"/>
      <c r="G1610" s="5"/>
      <c r="H1610" s="5"/>
      <c r="I1610" s="3"/>
      <c r="J1610" s="3"/>
      <c r="K1610" s="3"/>
      <c r="L1610" s="3"/>
      <c r="M1610" s="3"/>
      <c r="N1610" s="3"/>
      <c r="O1610" s="3"/>
      <c r="P1610" s="3"/>
      <c r="Q1610" s="3"/>
      <c r="R1610" s="3"/>
      <c r="S1610" s="3"/>
      <c r="T1610" s="3"/>
      <c r="U1610" s="3"/>
      <c r="V1610" s="3"/>
      <c r="W1610" s="3"/>
      <c r="X1610" s="3"/>
      <c r="Y1610" s="3"/>
    </row>
    <row r="1611">
      <c r="A1611" s="5"/>
      <c r="B1611" s="5"/>
      <c r="C1611" s="5"/>
      <c r="D1611" s="5"/>
      <c r="E1611" s="3"/>
      <c r="F1611" s="5"/>
      <c r="G1611" s="5"/>
      <c r="H1611" s="5"/>
      <c r="I1611" s="3"/>
      <c r="J1611" s="3"/>
      <c r="K1611" s="3"/>
      <c r="L1611" s="3"/>
      <c r="M1611" s="3"/>
      <c r="N1611" s="3"/>
      <c r="O1611" s="3"/>
      <c r="P1611" s="3"/>
      <c r="Q1611" s="3"/>
      <c r="R1611" s="3"/>
      <c r="S1611" s="3"/>
      <c r="T1611" s="3"/>
      <c r="U1611" s="3"/>
      <c r="V1611" s="3"/>
      <c r="W1611" s="3"/>
      <c r="X1611" s="3"/>
      <c r="Y1611" s="3"/>
    </row>
    <row r="1612">
      <c r="A1612" s="5"/>
      <c r="B1612" s="5"/>
      <c r="C1612" s="5"/>
      <c r="D1612" s="5"/>
      <c r="E1612" s="3"/>
      <c r="F1612" s="5"/>
      <c r="G1612" s="5"/>
      <c r="H1612" s="5"/>
      <c r="I1612" s="3"/>
      <c r="J1612" s="3"/>
      <c r="K1612" s="3"/>
      <c r="L1612" s="3"/>
      <c r="M1612" s="3"/>
      <c r="N1612" s="3"/>
      <c r="O1612" s="3"/>
      <c r="P1612" s="3"/>
      <c r="Q1612" s="3"/>
      <c r="R1612" s="3"/>
      <c r="S1612" s="3"/>
      <c r="T1612" s="3"/>
      <c r="U1612" s="3"/>
      <c r="V1612" s="3"/>
      <c r="W1612" s="3"/>
      <c r="X1612" s="3"/>
      <c r="Y1612" s="3"/>
    </row>
    <row r="1613">
      <c r="A1613" s="5"/>
      <c r="B1613" s="5"/>
      <c r="C1613" s="5"/>
      <c r="D1613" s="5"/>
      <c r="E1613" s="3"/>
      <c r="F1613" s="5"/>
      <c r="G1613" s="5"/>
      <c r="H1613" s="5"/>
      <c r="I1613" s="3"/>
      <c r="J1613" s="3"/>
      <c r="K1613" s="3"/>
      <c r="L1613" s="3"/>
      <c r="M1613" s="3"/>
      <c r="N1613" s="3"/>
      <c r="O1613" s="3"/>
      <c r="P1613" s="3"/>
      <c r="Q1613" s="3"/>
      <c r="R1613" s="3"/>
      <c r="S1613" s="3"/>
      <c r="T1613" s="3"/>
      <c r="U1613" s="3"/>
      <c r="V1613" s="3"/>
      <c r="W1613" s="3"/>
      <c r="X1613" s="3"/>
      <c r="Y1613" s="3"/>
    </row>
    <row r="1614">
      <c r="A1614" s="5"/>
      <c r="B1614" s="5"/>
      <c r="C1614" s="5"/>
      <c r="D1614" s="5"/>
      <c r="E1614" s="3"/>
      <c r="F1614" s="5"/>
      <c r="G1614" s="5"/>
      <c r="H1614" s="5"/>
      <c r="I1614" s="3"/>
      <c r="J1614" s="3"/>
      <c r="K1614" s="3"/>
      <c r="L1614" s="3"/>
      <c r="M1614" s="3"/>
      <c r="N1614" s="3"/>
      <c r="O1614" s="3"/>
      <c r="P1614" s="3"/>
      <c r="Q1614" s="3"/>
      <c r="R1614" s="3"/>
      <c r="S1614" s="3"/>
      <c r="T1614" s="3"/>
      <c r="U1614" s="3"/>
      <c r="V1614" s="3"/>
      <c r="W1614" s="3"/>
      <c r="X1614" s="3"/>
      <c r="Y1614" s="3"/>
    </row>
    <row r="1615">
      <c r="A1615" s="5"/>
      <c r="B1615" s="5"/>
      <c r="C1615" s="5"/>
      <c r="D1615" s="5"/>
      <c r="E1615" s="3"/>
      <c r="F1615" s="5"/>
      <c r="G1615" s="5"/>
      <c r="H1615" s="5"/>
      <c r="I1615" s="3"/>
      <c r="J1615" s="3"/>
      <c r="K1615" s="3"/>
      <c r="L1615" s="3"/>
      <c r="M1615" s="3"/>
      <c r="N1615" s="3"/>
      <c r="O1615" s="3"/>
      <c r="P1615" s="3"/>
      <c r="Q1615" s="3"/>
      <c r="R1615" s="3"/>
      <c r="S1615" s="3"/>
      <c r="T1615" s="3"/>
      <c r="U1615" s="3"/>
      <c r="V1615" s="3"/>
      <c r="W1615" s="3"/>
      <c r="X1615" s="3"/>
      <c r="Y1615" s="3"/>
    </row>
    <row r="1616">
      <c r="A1616" s="5"/>
      <c r="B1616" s="5"/>
      <c r="C1616" s="5"/>
      <c r="D1616" s="5"/>
      <c r="E1616" s="3"/>
      <c r="F1616" s="5"/>
      <c r="G1616" s="5"/>
      <c r="H1616" s="5"/>
      <c r="I1616" s="3"/>
      <c r="J1616" s="3"/>
      <c r="K1616" s="3"/>
      <c r="L1616" s="3"/>
      <c r="M1616" s="3"/>
      <c r="N1616" s="3"/>
      <c r="O1616" s="3"/>
      <c r="P1616" s="3"/>
      <c r="Q1616" s="3"/>
      <c r="R1616" s="3"/>
      <c r="S1616" s="3"/>
      <c r="T1616" s="3"/>
      <c r="U1616" s="3"/>
      <c r="V1616" s="3"/>
      <c r="W1616" s="3"/>
      <c r="X1616" s="3"/>
      <c r="Y1616" s="3"/>
    </row>
    <row r="1617">
      <c r="A1617" s="5"/>
      <c r="B1617" s="5"/>
      <c r="C1617" s="5"/>
      <c r="D1617" s="5"/>
      <c r="E1617" s="3"/>
      <c r="F1617" s="5"/>
      <c r="G1617" s="5"/>
      <c r="H1617" s="5"/>
      <c r="I1617" s="3"/>
      <c r="J1617" s="3"/>
      <c r="K1617" s="3"/>
      <c r="L1617" s="3"/>
      <c r="M1617" s="3"/>
      <c r="N1617" s="3"/>
      <c r="O1617" s="3"/>
      <c r="P1617" s="3"/>
      <c r="Q1617" s="3"/>
      <c r="R1617" s="3"/>
      <c r="S1617" s="3"/>
      <c r="T1617" s="3"/>
      <c r="U1617" s="3"/>
      <c r="V1617" s="3"/>
      <c r="W1617" s="3"/>
      <c r="X1617" s="3"/>
      <c r="Y1617" s="3"/>
    </row>
    <row r="1618">
      <c r="A1618" s="5"/>
      <c r="B1618" s="5"/>
      <c r="C1618" s="5"/>
      <c r="D1618" s="5"/>
      <c r="E1618" s="3"/>
      <c r="F1618" s="5"/>
      <c r="G1618" s="5"/>
      <c r="H1618" s="5"/>
      <c r="I1618" s="3"/>
      <c r="J1618" s="3"/>
      <c r="K1618" s="3"/>
      <c r="L1618" s="3"/>
      <c r="M1618" s="3"/>
      <c r="N1618" s="3"/>
      <c r="O1618" s="3"/>
      <c r="P1618" s="3"/>
      <c r="Q1618" s="3"/>
      <c r="R1618" s="3"/>
      <c r="S1618" s="3"/>
      <c r="T1618" s="3"/>
      <c r="U1618" s="3"/>
      <c r="V1618" s="3"/>
      <c r="W1618" s="3"/>
      <c r="X1618" s="3"/>
      <c r="Y1618" s="3"/>
    </row>
    <row r="1619">
      <c r="A1619" s="5"/>
      <c r="B1619" s="5"/>
      <c r="C1619" s="5"/>
      <c r="D1619" s="5"/>
      <c r="E1619" s="3"/>
      <c r="F1619" s="5"/>
      <c r="G1619" s="5"/>
      <c r="H1619" s="5"/>
      <c r="I1619" s="3"/>
      <c r="J1619" s="3"/>
      <c r="K1619" s="3"/>
      <c r="L1619" s="3"/>
      <c r="M1619" s="3"/>
      <c r="N1619" s="3"/>
      <c r="O1619" s="3"/>
      <c r="P1619" s="3"/>
      <c r="Q1619" s="3"/>
      <c r="R1619" s="3"/>
      <c r="S1619" s="3"/>
      <c r="T1619" s="3"/>
      <c r="U1619" s="3"/>
      <c r="V1619" s="3"/>
      <c r="W1619" s="3"/>
      <c r="X1619" s="3"/>
      <c r="Y1619" s="3"/>
    </row>
    <row r="1620">
      <c r="A1620" s="5"/>
      <c r="B1620" s="5"/>
      <c r="C1620" s="5"/>
      <c r="D1620" s="5"/>
      <c r="E1620" s="3"/>
      <c r="F1620" s="5"/>
      <c r="G1620" s="5"/>
      <c r="H1620" s="5"/>
      <c r="I1620" s="3"/>
      <c r="J1620" s="3"/>
      <c r="K1620" s="3"/>
      <c r="L1620" s="3"/>
      <c r="M1620" s="3"/>
      <c r="N1620" s="3"/>
      <c r="O1620" s="3"/>
      <c r="P1620" s="3"/>
      <c r="Q1620" s="3"/>
      <c r="R1620" s="3"/>
      <c r="S1620" s="3"/>
      <c r="T1620" s="3"/>
      <c r="U1620" s="3"/>
      <c r="V1620" s="3"/>
      <c r="W1620" s="3"/>
      <c r="X1620" s="3"/>
      <c r="Y1620" s="3"/>
    </row>
    <row r="1621">
      <c r="A1621" s="5"/>
      <c r="B1621" s="5"/>
      <c r="C1621" s="5"/>
      <c r="D1621" s="5"/>
      <c r="E1621" s="3"/>
      <c r="F1621" s="5"/>
      <c r="G1621" s="5"/>
      <c r="H1621" s="5"/>
      <c r="I1621" s="3"/>
      <c r="J1621" s="3"/>
      <c r="K1621" s="3"/>
      <c r="L1621" s="3"/>
      <c r="M1621" s="3"/>
      <c r="N1621" s="3"/>
      <c r="O1621" s="3"/>
      <c r="P1621" s="3"/>
      <c r="Q1621" s="3"/>
      <c r="R1621" s="3"/>
      <c r="S1621" s="3"/>
      <c r="T1621" s="3"/>
      <c r="U1621" s="3"/>
      <c r="V1621" s="3"/>
      <c r="W1621" s="3"/>
      <c r="X1621" s="3"/>
      <c r="Y1621" s="3"/>
    </row>
    <row r="1622">
      <c r="A1622" s="5"/>
      <c r="B1622" s="5"/>
      <c r="C1622" s="5"/>
      <c r="D1622" s="5"/>
      <c r="E1622" s="3"/>
      <c r="F1622" s="5"/>
      <c r="G1622" s="5"/>
      <c r="H1622" s="5"/>
      <c r="I1622" s="3"/>
      <c r="J1622" s="3"/>
      <c r="K1622" s="3"/>
      <c r="L1622" s="3"/>
      <c r="M1622" s="3"/>
      <c r="N1622" s="3"/>
      <c r="O1622" s="3"/>
      <c r="P1622" s="3"/>
      <c r="Q1622" s="3"/>
      <c r="R1622" s="3"/>
      <c r="S1622" s="3"/>
      <c r="T1622" s="3"/>
      <c r="U1622" s="3"/>
      <c r="V1622" s="3"/>
      <c r="W1622" s="3"/>
      <c r="X1622" s="3"/>
      <c r="Y1622" s="3"/>
    </row>
    <row r="1623">
      <c r="A1623" s="5"/>
      <c r="B1623" s="5"/>
      <c r="C1623" s="5"/>
      <c r="D1623" s="5"/>
      <c r="E1623" s="3"/>
      <c r="F1623" s="5"/>
      <c r="G1623" s="5"/>
      <c r="H1623" s="5"/>
      <c r="I1623" s="3"/>
      <c r="J1623" s="3"/>
      <c r="K1623" s="3"/>
      <c r="L1623" s="3"/>
      <c r="M1623" s="3"/>
      <c r="N1623" s="3"/>
      <c r="O1623" s="3"/>
      <c r="P1623" s="3"/>
      <c r="Q1623" s="3"/>
      <c r="R1623" s="3"/>
      <c r="S1623" s="3"/>
      <c r="T1623" s="3"/>
      <c r="U1623" s="3"/>
      <c r="V1623" s="3"/>
      <c r="W1623" s="3"/>
      <c r="X1623" s="3"/>
      <c r="Y1623" s="3"/>
    </row>
    <row r="1624">
      <c r="A1624" s="5"/>
      <c r="B1624" s="5"/>
      <c r="C1624" s="5"/>
      <c r="D1624" s="5"/>
      <c r="E1624" s="3"/>
      <c r="F1624" s="5"/>
      <c r="G1624" s="5"/>
      <c r="H1624" s="5"/>
      <c r="I1624" s="3"/>
      <c r="J1624" s="3"/>
      <c r="K1624" s="3"/>
      <c r="L1624" s="3"/>
      <c r="M1624" s="3"/>
      <c r="N1624" s="3"/>
      <c r="O1624" s="3"/>
      <c r="P1624" s="3"/>
      <c r="Q1624" s="3"/>
      <c r="R1624" s="3"/>
      <c r="S1624" s="3"/>
      <c r="T1624" s="3"/>
      <c r="U1624" s="3"/>
      <c r="V1624" s="3"/>
      <c r="W1624" s="3"/>
      <c r="X1624" s="3"/>
      <c r="Y1624" s="3"/>
    </row>
    <row r="1625">
      <c r="A1625" s="5"/>
      <c r="B1625" s="5"/>
      <c r="C1625" s="5"/>
      <c r="D1625" s="5"/>
      <c r="E1625" s="3"/>
      <c r="F1625" s="5"/>
      <c r="G1625" s="5"/>
      <c r="H1625" s="5"/>
      <c r="I1625" s="3"/>
      <c r="J1625" s="3"/>
      <c r="K1625" s="3"/>
      <c r="L1625" s="3"/>
      <c r="M1625" s="3"/>
      <c r="N1625" s="3"/>
      <c r="O1625" s="3"/>
      <c r="P1625" s="3"/>
      <c r="Q1625" s="3"/>
      <c r="R1625" s="3"/>
      <c r="S1625" s="3"/>
      <c r="T1625" s="3"/>
      <c r="U1625" s="3"/>
      <c r="V1625" s="3"/>
      <c r="W1625" s="3"/>
      <c r="X1625" s="3"/>
      <c r="Y1625" s="3"/>
    </row>
    <row r="1626">
      <c r="A1626" s="5"/>
      <c r="B1626" s="5"/>
      <c r="C1626" s="5"/>
      <c r="D1626" s="5"/>
      <c r="E1626" s="3"/>
      <c r="F1626" s="5"/>
      <c r="G1626" s="5"/>
      <c r="H1626" s="5"/>
      <c r="I1626" s="3"/>
      <c r="J1626" s="3"/>
      <c r="K1626" s="3"/>
      <c r="L1626" s="3"/>
      <c r="M1626" s="3"/>
      <c r="N1626" s="3"/>
      <c r="O1626" s="3"/>
      <c r="P1626" s="3"/>
      <c r="Q1626" s="3"/>
      <c r="R1626" s="3"/>
      <c r="S1626" s="3"/>
      <c r="T1626" s="3"/>
      <c r="U1626" s="3"/>
      <c r="V1626" s="3"/>
      <c r="W1626" s="3"/>
      <c r="X1626" s="3"/>
      <c r="Y1626" s="3"/>
    </row>
    <row r="1627">
      <c r="A1627" s="5"/>
      <c r="B1627" s="5"/>
      <c r="C1627" s="5"/>
      <c r="D1627" s="5"/>
      <c r="E1627" s="3"/>
      <c r="F1627" s="5"/>
      <c r="G1627" s="5"/>
      <c r="H1627" s="5"/>
      <c r="I1627" s="3"/>
      <c r="J1627" s="3"/>
      <c r="K1627" s="3"/>
      <c r="L1627" s="3"/>
      <c r="M1627" s="3"/>
      <c r="N1627" s="3"/>
      <c r="O1627" s="3"/>
      <c r="P1627" s="3"/>
      <c r="Q1627" s="3"/>
      <c r="R1627" s="3"/>
      <c r="S1627" s="3"/>
      <c r="T1627" s="3"/>
      <c r="U1627" s="3"/>
      <c r="V1627" s="3"/>
      <c r="W1627" s="3"/>
      <c r="X1627" s="3"/>
      <c r="Y1627" s="3"/>
    </row>
    <row r="1628">
      <c r="A1628" s="5"/>
      <c r="B1628" s="5"/>
      <c r="C1628" s="5"/>
      <c r="D1628" s="5"/>
      <c r="E1628" s="3"/>
      <c r="F1628" s="5"/>
      <c r="G1628" s="5"/>
      <c r="H1628" s="5"/>
      <c r="I1628" s="3"/>
      <c r="J1628" s="3"/>
      <c r="K1628" s="3"/>
      <c r="L1628" s="3"/>
      <c r="M1628" s="3"/>
      <c r="N1628" s="3"/>
      <c r="O1628" s="3"/>
      <c r="P1628" s="3"/>
      <c r="Q1628" s="3"/>
      <c r="R1628" s="3"/>
      <c r="S1628" s="3"/>
      <c r="T1628" s="3"/>
      <c r="U1628" s="3"/>
      <c r="V1628" s="3"/>
      <c r="W1628" s="3"/>
      <c r="X1628" s="3"/>
      <c r="Y1628" s="3"/>
    </row>
    <row r="1629">
      <c r="A1629" s="5"/>
      <c r="B1629" s="5"/>
      <c r="C1629" s="5"/>
      <c r="D1629" s="5"/>
      <c r="E1629" s="3"/>
      <c r="F1629" s="5"/>
      <c r="G1629" s="5"/>
      <c r="H1629" s="5"/>
      <c r="I1629" s="3"/>
      <c r="J1629" s="3"/>
      <c r="K1629" s="3"/>
      <c r="L1629" s="3"/>
      <c r="M1629" s="3"/>
      <c r="N1629" s="3"/>
      <c r="O1629" s="3"/>
      <c r="P1629" s="3"/>
      <c r="Q1629" s="3"/>
      <c r="R1629" s="3"/>
      <c r="S1629" s="3"/>
      <c r="T1629" s="3"/>
      <c r="U1629" s="3"/>
      <c r="V1629" s="3"/>
      <c r="W1629" s="3"/>
      <c r="X1629" s="3"/>
      <c r="Y1629" s="3"/>
    </row>
    <row r="1630">
      <c r="A1630" s="5"/>
      <c r="B1630" s="5"/>
      <c r="C1630" s="5"/>
      <c r="D1630" s="5"/>
      <c r="E1630" s="3"/>
      <c r="F1630" s="5"/>
      <c r="G1630" s="5"/>
      <c r="H1630" s="5"/>
      <c r="I1630" s="3"/>
      <c r="J1630" s="3"/>
      <c r="K1630" s="3"/>
      <c r="L1630" s="3"/>
      <c r="M1630" s="3"/>
      <c r="N1630" s="3"/>
      <c r="O1630" s="3"/>
      <c r="P1630" s="3"/>
      <c r="Q1630" s="3"/>
      <c r="R1630" s="3"/>
      <c r="S1630" s="3"/>
      <c r="T1630" s="3"/>
      <c r="U1630" s="3"/>
      <c r="V1630" s="3"/>
      <c r="W1630" s="3"/>
      <c r="X1630" s="3"/>
      <c r="Y1630" s="3"/>
    </row>
    <row r="1631">
      <c r="A1631" s="5"/>
      <c r="B1631" s="5"/>
      <c r="C1631" s="5"/>
      <c r="D1631" s="5"/>
      <c r="E1631" s="3"/>
      <c r="F1631" s="5"/>
      <c r="G1631" s="5"/>
      <c r="H1631" s="5"/>
      <c r="I1631" s="3"/>
      <c r="J1631" s="3"/>
      <c r="K1631" s="3"/>
      <c r="L1631" s="3"/>
      <c r="M1631" s="3"/>
      <c r="N1631" s="3"/>
      <c r="O1631" s="3"/>
      <c r="P1631" s="3"/>
      <c r="Q1631" s="3"/>
      <c r="R1631" s="3"/>
      <c r="S1631" s="3"/>
      <c r="T1631" s="3"/>
      <c r="U1631" s="3"/>
      <c r="V1631" s="3"/>
      <c r="W1631" s="3"/>
      <c r="X1631" s="3"/>
      <c r="Y1631" s="3"/>
    </row>
    <row r="1632">
      <c r="A1632" s="5"/>
      <c r="B1632" s="5"/>
      <c r="C1632" s="5"/>
      <c r="D1632" s="5"/>
      <c r="E1632" s="3"/>
      <c r="F1632" s="5"/>
      <c r="G1632" s="5"/>
      <c r="H1632" s="5"/>
      <c r="I1632" s="3"/>
      <c r="J1632" s="3"/>
      <c r="K1632" s="3"/>
      <c r="L1632" s="3"/>
      <c r="M1632" s="3"/>
      <c r="N1632" s="3"/>
      <c r="O1632" s="3"/>
      <c r="P1632" s="3"/>
      <c r="Q1632" s="3"/>
      <c r="R1632" s="3"/>
      <c r="S1632" s="3"/>
      <c r="T1632" s="3"/>
      <c r="U1632" s="3"/>
      <c r="V1632" s="3"/>
      <c r="W1632" s="3"/>
      <c r="X1632" s="3"/>
      <c r="Y1632" s="3"/>
    </row>
    <row r="1633">
      <c r="A1633" s="5"/>
      <c r="B1633" s="5"/>
      <c r="C1633" s="5"/>
      <c r="D1633" s="5"/>
      <c r="E1633" s="3"/>
      <c r="F1633" s="5"/>
      <c r="G1633" s="5"/>
      <c r="H1633" s="5"/>
      <c r="I1633" s="3"/>
      <c r="J1633" s="3"/>
      <c r="K1633" s="3"/>
      <c r="L1633" s="3"/>
      <c r="M1633" s="3"/>
      <c r="N1633" s="3"/>
      <c r="O1633" s="3"/>
      <c r="P1633" s="3"/>
      <c r="Q1633" s="3"/>
      <c r="R1633" s="3"/>
      <c r="S1633" s="3"/>
      <c r="T1633" s="3"/>
      <c r="U1633" s="3"/>
      <c r="V1633" s="3"/>
      <c r="W1633" s="3"/>
      <c r="X1633" s="3"/>
      <c r="Y1633" s="3"/>
    </row>
    <row r="1634">
      <c r="A1634" s="5"/>
      <c r="B1634" s="5"/>
      <c r="C1634" s="5"/>
      <c r="D1634" s="5"/>
      <c r="E1634" s="3"/>
      <c r="F1634" s="5"/>
      <c r="G1634" s="5"/>
      <c r="H1634" s="5"/>
      <c r="I1634" s="3"/>
      <c r="J1634" s="3"/>
      <c r="K1634" s="3"/>
      <c r="L1634" s="3"/>
      <c r="M1634" s="3"/>
      <c r="N1634" s="3"/>
      <c r="O1634" s="3"/>
      <c r="P1634" s="3"/>
      <c r="Q1634" s="3"/>
      <c r="R1634" s="3"/>
      <c r="S1634" s="3"/>
      <c r="T1634" s="3"/>
      <c r="U1634" s="3"/>
      <c r="V1634" s="3"/>
      <c r="W1634" s="3"/>
      <c r="X1634" s="3"/>
      <c r="Y1634" s="3"/>
    </row>
    <row r="1635">
      <c r="A1635" s="5"/>
      <c r="B1635" s="5"/>
      <c r="C1635" s="5"/>
      <c r="D1635" s="5"/>
      <c r="E1635" s="3"/>
      <c r="F1635" s="5"/>
      <c r="G1635" s="5"/>
      <c r="H1635" s="5"/>
      <c r="I1635" s="3"/>
      <c r="J1635" s="3"/>
      <c r="K1635" s="3"/>
      <c r="L1635" s="3"/>
      <c r="M1635" s="3"/>
      <c r="N1635" s="3"/>
      <c r="O1635" s="3"/>
      <c r="P1635" s="3"/>
      <c r="Q1635" s="3"/>
      <c r="R1635" s="3"/>
      <c r="S1635" s="3"/>
      <c r="T1635" s="3"/>
      <c r="U1635" s="3"/>
      <c r="V1635" s="3"/>
      <c r="W1635" s="3"/>
      <c r="X1635" s="3"/>
      <c r="Y1635" s="3"/>
    </row>
    <row r="1636">
      <c r="A1636" s="5"/>
      <c r="B1636" s="5"/>
      <c r="C1636" s="5"/>
      <c r="D1636" s="5"/>
      <c r="E1636" s="3"/>
      <c r="F1636" s="5"/>
      <c r="G1636" s="5"/>
      <c r="H1636" s="5"/>
      <c r="I1636" s="3"/>
      <c r="J1636" s="3"/>
      <c r="K1636" s="3"/>
      <c r="L1636" s="3"/>
      <c r="M1636" s="3"/>
      <c r="N1636" s="3"/>
      <c r="O1636" s="3"/>
      <c r="P1636" s="3"/>
      <c r="Q1636" s="3"/>
      <c r="R1636" s="3"/>
      <c r="S1636" s="3"/>
      <c r="T1636" s="3"/>
      <c r="U1636" s="3"/>
      <c r="V1636" s="3"/>
      <c r="W1636" s="3"/>
      <c r="X1636" s="3"/>
      <c r="Y1636" s="3"/>
    </row>
    <row r="1637">
      <c r="A1637" s="5"/>
      <c r="B1637" s="5"/>
      <c r="C1637" s="5"/>
      <c r="D1637" s="5"/>
      <c r="E1637" s="3"/>
      <c r="F1637" s="5"/>
      <c r="G1637" s="5"/>
      <c r="H1637" s="5"/>
      <c r="I1637" s="3"/>
      <c r="J1637" s="3"/>
      <c r="K1637" s="3"/>
      <c r="L1637" s="3"/>
      <c r="M1637" s="3"/>
      <c r="N1637" s="3"/>
      <c r="O1637" s="3"/>
      <c r="P1637" s="3"/>
      <c r="Q1637" s="3"/>
      <c r="R1637" s="3"/>
      <c r="S1637" s="3"/>
      <c r="T1637" s="3"/>
      <c r="U1637" s="3"/>
      <c r="V1637" s="3"/>
      <c r="W1637" s="3"/>
      <c r="X1637" s="3"/>
      <c r="Y1637" s="3"/>
    </row>
    <row r="1638">
      <c r="A1638" s="5"/>
      <c r="B1638" s="5"/>
      <c r="C1638" s="5"/>
      <c r="D1638" s="5"/>
      <c r="E1638" s="3"/>
      <c r="F1638" s="5"/>
      <c r="G1638" s="5"/>
      <c r="H1638" s="5"/>
      <c r="I1638" s="3"/>
      <c r="J1638" s="3"/>
      <c r="K1638" s="3"/>
      <c r="L1638" s="3"/>
      <c r="M1638" s="3"/>
      <c r="N1638" s="3"/>
      <c r="O1638" s="3"/>
      <c r="P1638" s="3"/>
      <c r="Q1638" s="3"/>
      <c r="R1638" s="3"/>
      <c r="S1638" s="3"/>
      <c r="T1638" s="3"/>
      <c r="U1638" s="3"/>
      <c r="V1638" s="3"/>
      <c r="W1638" s="3"/>
      <c r="X1638" s="3"/>
      <c r="Y1638" s="3"/>
    </row>
    <row r="1639">
      <c r="A1639" s="5"/>
      <c r="B1639" s="5"/>
      <c r="C1639" s="5"/>
      <c r="D1639" s="5"/>
      <c r="E1639" s="3"/>
      <c r="F1639" s="5"/>
      <c r="G1639" s="5"/>
      <c r="H1639" s="5"/>
      <c r="I1639" s="3"/>
      <c r="J1639" s="3"/>
      <c r="K1639" s="3"/>
      <c r="L1639" s="3"/>
      <c r="M1639" s="3"/>
      <c r="N1639" s="3"/>
      <c r="O1639" s="3"/>
      <c r="P1639" s="3"/>
      <c r="Q1639" s="3"/>
      <c r="R1639" s="3"/>
      <c r="S1639" s="3"/>
      <c r="T1639" s="3"/>
      <c r="U1639" s="3"/>
      <c r="V1639" s="3"/>
      <c r="W1639" s="3"/>
      <c r="X1639" s="3"/>
      <c r="Y1639" s="3"/>
    </row>
    <row r="1640">
      <c r="A1640" s="5"/>
      <c r="B1640" s="5"/>
      <c r="C1640" s="5"/>
      <c r="D1640" s="5"/>
      <c r="E1640" s="3"/>
      <c r="F1640" s="5"/>
      <c r="G1640" s="5"/>
      <c r="H1640" s="5"/>
      <c r="I1640" s="3"/>
      <c r="J1640" s="3"/>
      <c r="K1640" s="3"/>
      <c r="L1640" s="3"/>
      <c r="M1640" s="3"/>
      <c r="N1640" s="3"/>
      <c r="O1640" s="3"/>
      <c r="P1640" s="3"/>
      <c r="Q1640" s="3"/>
      <c r="R1640" s="3"/>
      <c r="S1640" s="3"/>
      <c r="T1640" s="3"/>
      <c r="U1640" s="3"/>
      <c r="V1640" s="3"/>
      <c r="W1640" s="3"/>
      <c r="X1640" s="3"/>
      <c r="Y1640" s="3"/>
    </row>
    <row r="1641">
      <c r="A1641" s="5"/>
      <c r="B1641" s="5"/>
      <c r="C1641" s="5"/>
      <c r="D1641" s="5"/>
      <c r="E1641" s="3"/>
      <c r="F1641" s="5"/>
      <c r="G1641" s="5"/>
      <c r="H1641" s="5"/>
      <c r="I1641" s="3"/>
      <c r="J1641" s="3"/>
      <c r="K1641" s="3"/>
      <c r="L1641" s="3"/>
      <c r="M1641" s="3"/>
      <c r="N1641" s="3"/>
      <c r="O1641" s="3"/>
      <c r="P1641" s="3"/>
      <c r="Q1641" s="3"/>
      <c r="R1641" s="3"/>
      <c r="S1641" s="3"/>
      <c r="T1641" s="3"/>
      <c r="U1641" s="3"/>
      <c r="V1641" s="3"/>
      <c r="W1641" s="3"/>
      <c r="X1641" s="3"/>
      <c r="Y1641" s="3"/>
    </row>
    <row r="1642">
      <c r="A1642" s="5"/>
      <c r="B1642" s="5"/>
      <c r="C1642" s="5"/>
      <c r="D1642" s="5"/>
      <c r="E1642" s="3"/>
      <c r="F1642" s="5"/>
      <c r="G1642" s="5"/>
      <c r="H1642" s="5"/>
      <c r="I1642" s="3"/>
      <c r="J1642" s="3"/>
      <c r="K1642" s="3"/>
      <c r="L1642" s="3"/>
      <c r="M1642" s="3"/>
      <c r="N1642" s="3"/>
      <c r="O1642" s="3"/>
      <c r="P1642" s="3"/>
      <c r="Q1642" s="3"/>
      <c r="R1642" s="3"/>
      <c r="S1642" s="3"/>
      <c r="T1642" s="3"/>
      <c r="U1642" s="3"/>
      <c r="V1642" s="3"/>
      <c r="W1642" s="3"/>
      <c r="X1642" s="3"/>
      <c r="Y1642" s="3"/>
    </row>
    <row r="1643">
      <c r="A1643" s="5"/>
      <c r="B1643" s="5"/>
      <c r="C1643" s="5"/>
      <c r="D1643" s="5"/>
      <c r="E1643" s="3"/>
      <c r="F1643" s="5"/>
      <c r="G1643" s="5"/>
      <c r="H1643" s="5"/>
      <c r="I1643" s="3"/>
      <c r="J1643" s="3"/>
      <c r="K1643" s="3"/>
      <c r="L1643" s="3"/>
      <c r="M1643" s="3"/>
      <c r="N1643" s="3"/>
      <c r="O1643" s="3"/>
      <c r="P1643" s="3"/>
      <c r="Q1643" s="3"/>
      <c r="R1643" s="3"/>
      <c r="S1643" s="3"/>
      <c r="T1643" s="3"/>
      <c r="U1643" s="3"/>
      <c r="V1643" s="3"/>
      <c r="W1643" s="3"/>
      <c r="X1643" s="3"/>
      <c r="Y1643" s="3"/>
    </row>
    <row r="1644">
      <c r="A1644" s="5"/>
      <c r="B1644" s="5"/>
      <c r="C1644" s="5"/>
      <c r="D1644" s="5"/>
      <c r="E1644" s="3"/>
      <c r="F1644" s="5"/>
      <c r="G1644" s="5"/>
      <c r="H1644" s="5"/>
      <c r="I1644" s="3"/>
      <c r="J1644" s="3"/>
      <c r="K1644" s="3"/>
      <c r="L1644" s="3"/>
      <c r="M1644" s="3"/>
      <c r="N1644" s="3"/>
      <c r="O1644" s="3"/>
      <c r="P1644" s="3"/>
      <c r="Q1644" s="3"/>
      <c r="R1644" s="3"/>
      <c r="S1644" s="3"/>
      <c r="T1644" s="3"/>
      <c r="U1644" s="3"/>
      <c r="V1644" s="3"/>
      <c r="W1644" s="3"/>
      <c r="X1644" s="3"/>
      <c r="Y1644" s="3"/>
    </row>
    <row r="1645">
      <c r="A1645" s="5"/>
      <c r="B1645" s="5"/>
      <c r="C1645" s="5"/>
      <c r="D1645" s="5"/>
      <c r="E1645" s="3"/>
      <c r="F1645" s="5"/>
      <c r="G1645" s="5"/>
      <c r="H1645" s="5"/>
      <c r="I1645" s="3"/>
      <c r="J1645" s="3"/>
      <c r="K1645" s="3"/>
      <c r="L1645" s="3"/>
      <c r="M1645" s="3"/>
      <c r="N1645" s="3"/>
      <c r="O1645" s="3"/>
      <c r="P1645" s="3"/>
      <c r="Q1645" s="3"/>
      <c r="R1645" s="3"/>
      <c r="S1645" s="3"/>
      <c r="T1645" s="3"/>
      <c r="U1645" s="3"/>
      <c r="V1645" s="3"/>
      <c r="W1645" s="3"/>
      <c r="X1645" s="3"/>
      <c r="Y1645" s="3"/>
    </row>
    <row r="1646">
      <c r="A1646" s="5"/>
      <c r="B1646" s="5"/>
      <c r="C1646" s="5"/>
      <c r="D1646" s="5"/>
      <c r="E1646" s="3"/>
      <c r="F1646" s="5"/>
      <c r="G1646" s="5"/>
      <c r="H1646" s="5"/>
      <c r="I1646" s="3"/>
      <c r="J1646" s="3"/>
      <c r="K1646" s="3"/>
      <c r="L1646" s="3"/>
      <c r="M1646" s="3"/>
      <c r="N1646" s="3"/>
      <c r="O1646" s="3"/>
      <c r="P1646" s="3"/>
      <c r="Q1646" s="3"/>
      <c r="R1646" s="3"/>
      <c r="S1646" s="3"/>
      <c r="T1646" s="3"/>
      <c r="U1646" s="3"/>
      <c r="V1646" s="3"/>
      <c r="W1646" s="3"/>
      <c r="X1646" s="3"/>
      <c r="Y1646" s="3"/>
    </row>
    <row r="1647">
      <c r="A1647" s="5"/>
      <c r="B1647" s="5"/>
      <c r="C1647" s="5"/>
      <c r="D1647" s="5"/>
      <c r="E1647" s="3"/>
      <c r="F1647" s="5"/>
      <c r="G1647" s="5"/>
      <c r="H1647" s="5"/>
      <c r="I1647" s="3"/>
      <c r="J1647" s="3"/>
      <c r="K1647" s="3"/>
      <c r="L1647" s="3"/>
      <c r="M1647" s="3"/>
      <c r="N1647" s="3"/>
      <c r="O1647" s="3"/>
      <c r="P1647" s="3"/>
      <c r="Q1647" s="3"/>
      <c r="R1647" s="3"/>
      <c r="S1647" s="3"/>
      <c r="T1647" s="3"/>
      <c r="U1647" s="3"/>
      <c r="V1647" s="3"/>
      <c r="W1647" s="3"/>
      <c r="X1647" s="3"/>
      <c r="Y1647" s="3"/>
    </row>
    <row r="1648">
      <c r="A1648" s="5"/>
      <c r="B1648" s="5"/>
      <c r="C1648" s="5"/>
      <c r="D1648" s="5"/>
      <c r="E1648" s="3"/>
      <c r="F1648" s="5"/>
      <c r="G1648" s="5"/>
      <c r="H1648" s="5"/>
      <c r="I1648" s="3"/>
      <c r="J1648" s="3"/>
      <c r="K1648" s="3"/>
      <c r="L1648" s="3"/>
      <c r="M1648" s="3"/>
      <c r="N1648" s="3"/>
      <c r="O1648" s="3"/>
      <c r="P1648" s="3"/>
      <c r="Q1648" s="3"/>
      <c r="R1648" s="3"/>
      <c r="S1648" s="3"/>
      <c r="T1648" s="3"/>
      <c r="U1648" s="3"/>
      <c r="V1648" s="3"/>
      <c r="W1648" s="3"/>
      <c r="X1648" s="3"/>
      <c r="Y1648" s="3"/>
    </row>
    <row r="1649">
      <c r="A1649" s="5"/>
      <c r="B1649" s="5"/>
      <c r="C1649" s="5"/>
      <c r="D1649" s="5"/>
      <c r="E1649" s="3"/>
      <c r="F1649" s="5"/>
      <c r="G1649" s="5"/>
      <c r="H1649" s="5"/>
      <c r="I1649" s="3"/>
      <c r="J1649" s="3"/>
      <c r="K1649" s="3"/>
      <c r="L1649" s="3"/>
      <c r="M1649" s="3"/>
      <c r="N1649" s="3"/>
      <c r="O1649" s="3"/>
      <c r="P1649" s="3"/>
      <c r="Q1649" s="3"/>
      <c r="R1649" s="3"/>
      <c r="S1649" s="3"/>
      <c r="T1649" s="3"/>
      <c r="U1649" s="3"/>
      <c r="V1649" s="3"/>
      <c r="W1649" s="3"/>
      <c r="X1649" s="3"/>
      <c r="Y1649" s="3"/>
    </row>
    <row r="1650">
      <c r="A1650" s="5"/>
      <c r="B1650" s="5"/>
      <c r="C1650" s="5"/>
      <c r="D1650" s="5"/>
      <c r="E1650" s="3"/>
      <c r="F1650" s="5"/>
      <c r="G1650" s="5"/>
      <c r="H1650" s="5"/>
      <c r="I1650" s="3"/>
      <c r="J1650" s="3"/>
      <c r="K1650" s="3"/>
      <c r="L1650" s="3"/>
      <c r="M1650" s="3"/>
      <c r="N1650" s="3"/>
      <c r="O1650" s="3"/>
      <c r="P1650" s="3"/>
      <c r="Q1650" s="3"/>
      <c r="R1650" s="3"/>
      <c r="S1650" s="3"/>
      <c r="T1650" s="3"/>
      <c r="U1650" s="3"/>
      <c r="V1650" s="3"/>
      <c r="W1650" s="3"/>
      <c r="X1650" s="3"/>
      <c r="Y1650" s="3"/>
    </row>
    <row r="1651">
      <c r="A1651" s="5"/>
      <c r="B1651" s="5"/>
      <c r="C1651" s="5"/>
      <c r="D1651" s="5"/>
      <c r="E1651" s="3"/>
      <c r="F1651" s="5"/>
      <c r="G1651" s="5"/>
      <c r="H1651" s="5"/>
      <c r="I1651" s="3"/>
      <c r="J1651" s="3"/>
      <c r="K1651" s="3"/>
      <c r="L1651" s="3"/>
      <c r="M1651" s="3"/>
      <c r="N1651" s="3"/>
      <c r="O1651" s="3"/>
      <c r="P1651" s="3"/>
      <c r="Q1651" s="3"/>
      <c r="R1651" s="3"/>
      <c r="S1651" s="3"/>
      <c r="T1651" s="3"/>
      <c r="U1651" s="3"/>
      <c r="V1651" s="3"/>
      <c r="W1651" s="3"/>
      <c r="X1651" s="3"/>
      <c r="Y1651" s="3"/>
    </row>
    <row r="1652">
      <c r="A1652" s="5"/>
      <c r="B1652" s="5"/>
      <c r="C1652" s="5"/>
      <c r="D1652" s="5"/>
      <c r="E1652" s="3"/>
      <c r="F1652" s="5"/>
      <c r="G1652" s="5"/>
      <c r="H1652" s="5"/>
      <c r="I1652" s="3"/>
      <c r="J1652" s="3"/>
      <c r="K1652" s="3"/>
      <c r="L1652" s="3"/>
      <c r="M1652" s="3"/>
      <c r="N1652" s="3"/>
      <c r="O1652" s="3"/>
      <c r="P1652" s="3"/>
      <c r="Q1652" s="3"/>
      <c r="R1652" s="3"/>
      <c r="S1652" s="3"/>
      <c r="T1652" s="3"/>
      <c r="U1652" s="3"/>
      <c r="V1652" s="3"/>
      <c r="W1652" s="3"/>
      <c r="X1652" s="3"/>
      <c r="Y1652" s="3"/>
    </row>
    <row r="1653">
      <c r="A1653" s="5"/>
      <c r="B1653" s="5"/>
      <c r="C1653" s="5"/>
      <c r="D1653" s="5"/>
      <c r="E1653" s="3"/>
      <c r="F1653" s="5"/>
      <c r="G1653" s="5"/>
      <c r="H1653" s="5"/>
      <c r="I1653" s="3"/>
      <c r="J1653" s="3"/>
      <c r="K1653" s="3"/>
      <c r="L1653" s="3"/>
      <c r="M1653" s="3"/>
      <c r="N1653" s="3"/>
      <c r="O1653" s="3"/>
      <c r="P1653" s="3"/>
      <c r="Q1653" s="3"/>
      <c r="R1653" s="3"/>
      <c r="S1653" s="3"/>
      <c r="T1653" s="3"/>
      <c r="U1653" s="3"/>
      <c r="V1653" s="3"/>
      <c r="W1653" s="3"/>
      <c r="X1653" s="3"/>
      <c r="Y1653" s="3"/>
    </row>
    <row r="1654">
      <c r="A1654" s="5"/>
      <c r="B1654" s="5"/>
      <c r="C1654" s="5"/>
      <c r="D1654" s="5"/>
      <c r="E1654" s="3"/>
      <c r="F1654" s="5"/>
      <c r="G1654" s="5"/>
      <c r="H1654" s="5"/>
      <c r="I1654" s="3"/>
      <c r="J1654" s="3"/>
      <c r="K1654" s="3"/>
      <c r="L1654" s="3"/>
      <c r="M1654" s="3"/>
      <c r="N1654" s="3"/>
      <c r="O1654" s="3"/>
      <c r="P1654" s="3"/>
      <c r="Q1654" s="3"/>
      <c r="R1654" s="3"/>
      <c r="S1654" s="3"/>
      <c r="T1654" s="3"/>
      <c r="U1654" s="3"/>
      <c r="V1654" s="3"/>
      <c r="W1654" s="3"/>
      <c r="X1654" s="3"/>
      <c r="Y1654" s="3"/>
    </row>
    <row r="1655">
      <c r="A1655" s="5"/>
      <c r="B1655" s="5"/>
      <c r="C1655" s="5"/>
      <c r="D1655" s="5"/>
      <c r="E1655" s="3"/>
      <c r="F1655" s="5"/>
      <c r="G1655" s="5"/>
      <c r="H1655" s="5"/>
      <c r="I1655" s="3"/>
      <c r="J1655" s="3"/>
      <c r="K1655" s="3"/>
      <c r="L1655" s="3"/>
      <c r="M1655" s="3"/>
      <c r="N1655" s="3"/>
      <c r="O1655" s="3"/>
      <c r="P1655" s="3"/>
      <c r="Q1655" s="3"/>
      <c r="R1655" s="3"/>
      <c r="S1655" s="3"/>
      <c r="T1655" s="3"/>
      <c r="U1655" s="3"/>
      <c r="V1655" s="3"/>
      <c r="W1655" s="3"/>
      <c r="X1655" s="3"/>
      <c r="Y1655" s="3"/>
    </row>
    <row r="1656">
      <c r="A1656" s="5"/>
      <c r="B1656" s="5"/>
      <c r="C1656" s="5"/>
      <c r="D1656" s="5"/>
      <c r="E1656" s="3"/>
      <c r="F1656" s="5"/>
      <c r="G1656" s="5"/>
      <c r="H1656" s="5"/>
      <c r="I1656" s="3"/>
      <c r="J1656" s="3"/>
      <c r="K1656" s="3"/>
      <c r="L1656" s="3"/>
      <c r="M1656" s="3"/>
      <c r="N1656" s="3"/>
      <c r="O1656" s="3"/>
      <c r="P1656" s="3"/>
      <c r="Q1656" s="3"/>
      <c r="R1656" s="3"/>
      <c r="S1656" s="3"/>
      <c r="T1656" s="3"/>
      <c r="U1656" s="3"/>
      <c r="V1656" s="3"/>
      <c r="W1656" s="3"/>
      <c r="X1656" s="3"/>
      <c r="Y1656" s="3"/>
    </row>
    <row r="1657">
      <c r="A1657" s="5"/>
      <c r="B1657" s="5"/>
      <c r="C1657" s="5"/>
      <c r="D1657" s="5"/>
      <c r="E1657" s="3"/>
      <c r="F1657" s="5"/>
      <c r="G1657" s="5"/>
      <c r="H1657" s="5"/>
      <c r="I1657" s="3"/>
      <c r="J1657" s="3"/>
      <c r="K1657" s="3"/>
      <c r="L1657" s="3"/>
      <c r="M1657" s="3"/>
      <c r="N1657" s="3"/>
      <c r="O1657" s="3"/>
      <c r="P1657" s="3"/>
      <c r="Q1657" s="3"/>
      <c r="R1657" s="3"/>
      <c r="S1657" s="3"/>
      <c r="T1657" s="3"/>
      <c r="U1657" s="3"/>
      <c r="V1657" s="3"/>
      <c r="W1657" s="3"/>
      <c r="X1657" s="3"/>
      <c r="Y1657" s="3"/>
    </row>
    <row r="1658">
      <c r="A1658" s="5"/>
      <c r="B1658" s="5"/>
      <c r="C1658" s="5"/>
      <c r="D1658" s="5"/>
      <c r="E1658" s="3"/>
      <c r="F1658" s="5"/>
      <c r="G1658" s="5"/>
      <c r="H1658" s="5"/>
      <c r="I1658" s="3"/>
      <c r="J1658" s="3"/>
      <c r="K1658" s="3"/>
      <c r="L1658" s="3"/>
      <c r="M1658" s="3"/>
      <c r="N1658" s="3"/>
      <c r="O1658" s="3"/>
      <c r="P1658" s="3"/>
      <c r="Q1658" s="3"/>
      <c r="R1658" s="3"/>
      <c r="S1658" s="3"/>
      <c r="T1658" s="3"/>
      <c r="U1658" s="3"/>
      <c r="V1658" s="3"/>
      <c r="W1658" s="3"/>
      <c r="X1658" s="3"/>
      <c r="Y1658" s="3"/>
    </row>
    <row r="1659">
      <c r="A1659" s="5"/>
      <c r="B1659" s="5"/>
      <c r="C1659" s="5"/>
      <c r="D1659" s="5"/>
      <c r="E1659" s="3"/>
      <c r="F1659" s="5"/>
      <c r="G1659" s="5"/>
      <c r="H1659" s="5"/>
      <c r="I1659" s="3"/>
      <c r="J1659" s="3"/>
      <c r="K1659" s="3"/>
      <c r="L1659" s="3"/>
      <c r="M1659" s="3"/>
      <c r="N1659" s="3"/>
      <c r="O1659" s="3"/>
      <c r="P1659" s="3"/>
      <c r="Q1659" s="3"/>
      <c r="R1659" s="3"/>
      <c r="S1659" s="3"/>
      <c r="T1659" s="3"/>
      <c r="U1659" s="3"/>
      <c r="V1659" s="3"/>
      <c r="W1659" s="3"/>
      <c r="X1659" s="3"/>
      <c r="Y1659" s="3"/>
    </row>
    <row r="1660">
      <c r="A1660" s="5"/>
      <c r="B1660" s="5"/>
      <c r="C1660" s="5"/>
      <c r="D1660" s="5"/>
      <c r="E1660" s="3"/>
      <c r="F1660" s="5"/>
      <c r="G1660" s="5"/>
      <c r="H1660" s="5"/>
      <c r="I1660" s="3"/>
      <c r="J1660" s="3"/>
      <c r="K1660" s="3"/>
      <c r="L1660" s="3"/>
      <c r="M1660" s="3"/>
      <c r="N1660" s="3"/>
      <c r="O1660" s="3"/>
      <c r="P1660" s="3"/>
      <c r="Q1660" s="3"/>
      <c r="R1660" s="3"/>
      <c r="S1660" s="3"/>
      <c r="T1660" s="3"/>
      <c r="U1660" s="3"/>
      <c r="V1660" s="3"/>
      <c r="W1660" s="3"/>
      <c r="X1660" s="3"/>
      <c r="Y1660" s="3"/>
    </row>
    <row r="1661">
      <c r="A1661" s="5"/>
      <c r="B1661" s="5"/>
      <c r="C1661" s="5"/>
      <c r="D1661" s="5"/>
      <c r="E1661" s="3"/>
      <c r="F1661" s="5"/>
      <c r="G1661" s="5"/>
      <c r="H1661" s="5"/>
      <c r="I1661" s="3"/>
      <c r="J1661" s="3"/>
      <c r="K1661" s="3"/>
      <c r="L1661" s="3"/>
      <c r="M1661" s="3"/>
      <c r="N1661" s="3"/>
      <c r="O1661" s="3"/>
      <c r="P1661" s="3"/>
      <c r="Q1661" s="3"/>
      <c r="R1661" s="3"/>
      <c r="S1661" s="3"/>
      <c r="T1661" s="3"/>
      <c r="U1661" s="3"/>
      <c r="V1661" s="3"/>
      <c r="W1661" s="3"/>
      <c r="X1661" s="3"/>
      <c r="Y1661" s="3"/>
    </row>
    <row r="1662">
      <c r="A1662" s="5"/>
      <c r="B1662" s="5"/>
      <c r="C1662" s="5"/>
      <c r="D1662" s="5"/>
      <c r="E1662" s="3"/>
      <c r="F1662" s="5"/>
      <c r="G1662" s="5"/>
      <c r="H1662" s="5"/>
      <c r="I1662" s="3"/>
      <c r="J1662" s="3"/>
      <c r="K1662" s="3"/>
      <c r="L1662" s="3"/>
      <c r="M1662" s="3"/>
      <c r="N1662" s="3"/>
      <c r="O1662" s="3"/>
      <c r="P1662" s="3"/>
      <c r="Q1662" s="3"/>
      <c r="R1662" s="3"/>
      <c r="S1662" s="3"/>
      <c r="T1662" s="3"/>
      <c r="U1662" s="3"/>
      <c r="V1662" s="3"/>
      <c r="W1662" s="3"/>
      <c r="X1662" s="3"/>
      <c r="Y1662" s="3"/>
    </row>
    <row r="1663">
      <c r="A1663" s="5"/>
      <c r="B1663" s="5"/>
      <c r="C1663" s="5"/>
      <c r="D1663" s="5"/>
      <c r="E1663" s="3"/>
      <c r="F1663" s="5"/>
      <c r="G1663" s="5"/>
      <c r="H1663" s="5"/>
      <c r="I1663" s="3"/>
      <c r="J1663" s="3"/>
      <c r="K1663" s="3"/>
      <c r="L1663" s="3"/>
      <c r="M1663" s="3"/>
      <c r="N1663" s="3"/>
      <c r="O1663" s="3"/>
      <c r="P1663" s="3"/>
      <c r="Q1663" s="3"/>
      <c r="R1663" s="3"/>
      <c r="S1663" s="3"/>
      <c r="T1663" s="3"/>
      <c r="U1663" s="3"/>
      <c r="V1663" s="3"/>
      <c r="W1663" s="3"/>
      <c r="X1663" s="3"/>
      <c r="Y1663" s="3"/>
    </row>
    <row r="1664">
      <c r="A1664" s="5"/>
      <c r="B1664" s="5"/>
      <c r="C1664" s="5"/>
      <c r="D1664" s="5"/>
      <c r="E1664" s="3"/>
      <c r="F1664" s="5"/>
      <c r="G1664" s="5"/>
      <c r="H1664" s="5"/>
      <c r="I1664" s="3"/>
      <c r="J1664" s="3"/>
      <c r="K1664" s="3"/>
      <c r="L1664" s="3"/>
      <c r="M1664" s="3"/>
      <c r="N1664" s="3"/>
      <c r="O1664" s="3"/>
      <c r="P1664" s="3"/>
      <c r="Q1664" s="3"/>
      <c r="R1664" s="3"/>
      <c r="S1664" s="3"/>
      <c r="T1664" s="3"/>
      <c r="U1664" s="3"/>
      <c r="V1664" s="3"/>
      <c r="W1664" s="3"/>
      <c r="X1664" s="3"/>
      <c r="Y1664" s="3"/>
    </row>
    <row r="1665">
      <c r="A1665" s="5"/>
      <c r="B1665" s="5"/>
      <c r="C1665" s="5"/>
      <c r="D1665" s="5"/>
      <c r="E1665" s="3"/>
      <c r="F1665" s="5"/>
      <c r="G1665" s="5"/>
      <c r="H1665" s="5"/>
      <c r="I1665" s="3"/>
      <c r="J1665" s="3"/>
      <c r="K1665" s="3"/>
      <c r="L1665" s="3"/>
      <c r="M1665" s="3"/>
      <c r="N1665" s="3"/>
      <c r="O1665" s="3"/>
      <c r="P1665" s="3"/>
      <c r="Q1665" s="3"/>
      <c r="R1665" s="3"/>
      <c r="S1665" s="3"/>
      <c r="T1665" s="3"/>
      <c r="U1665" s="3"/>
      <c r="V1665" s="3"/>
      <c r="W1665" s="3"/>
      <c r="X1665" s="3"/>
      <c r="Y1665" s="3"/>
    </row>
    <row r="1666">
      <c r="A1666" s="5"/>
      <c r="B1666" s="5"/>
      <c r="C1666" s="5"/>
      <c r="D1666" s="5"/>
      <c r="E1666" s="3"/>
      <c r="F1666" s="5"/>
      <c r="G1666" s="5"/>
      <c r="H1666" s="5"/>
      <c r="I1666" s="3"/>
      <c r="J1666" s="3"/>
      <c r="K1666" s="3"/>
      <c r="L1666" s="3"/>
      <c r="M1666" s="3"/>
      <c r="N1666" s="3"/>
      <c r="O1666" s="3"/>
      <c r="P1666" s="3"/>
      <c r="Q1666" s="3"/>
      <c r="R1666" s="3"/>
      <c r="S1666" s="3"/>
      <c r="T1666" s="3"/>
      <c r="U1666" s="3"/>
      <c r="V1666" s="3"/>
      <c r="W1666" s="3"/>
      <c r="X1666" s="3"/>
      <c r="Y1666" s="3"/>
    </row>
    <row r="1667">
      <c r="A1667" s="5"/>
      <c r="B1667" s="5"/>
      <c r="C1667" s="5"/>
      <c r="D1667" s="5"/>
      <c r="E1667" s="3"/>
      <c r="F1667" s="5"/>
      <c r="G1667" s="5"/>
      <c r="H1667" s="5"/>
      <c r="I1667" s="3"/>
      <c r="J1667" s="3"/>
      <c r="K1667" s="3"/>
      <c r="L1667" s="3"/>
      <c r="M1667" s="3"/>
      <c r="N1667" s="3"/>
      <c r="O1667" s="3"/>
      <c r="P1667" s="3"/>
      <c r="Q1667" s="3"/>
      <c r="R1667" s="3"/>
      <c r="S1667" s="3"/>
      <c r="T1667" s="3"/>
      <c r="U1667" s="3"/>
      <c r="V1667" s="3"/>
      <c r="W1667" s="3"/>
      <c r="X1667" s="3"/>
      <c r="Y1667" s="3"/>
    </row>
    <row r="1668">
      <c r="A1668" s="5"/>
      <c r="B1668" s="5"/>
      <c r="C1668" s="5"/>
      <c r="D1668" s="5"/>
      <c r="E1668" s="3"/>
      <c r="F1668" s="5"/>
      <c r="G1668" s="5"/>
      <c r="H1668" s="5"/>
      <c r="I1668" s="3"/>
      <c r="J1668" s="3"/>
      <c r="K1668" s="3"/>
      <c r="L1668" s="3"/>
      <c r="M1668" s="3"/>
      <c r="N1668" s="3"/>
      <c r="O1668" s="3"/>
      <c r="P1668" s="3"/>
      <c r="Q1668" s="3"/>
      <c r="R1668" s="3"/>
      <c r="S1668" s="3"/>
      <c r="T1668" s="3"/>
      <c r="U1668" s="3"/>
      <c r="V1668" s="3"/>
      <c r="W1668" s="3"/>
      <c r="X1668" s="3"/>
      <c r="Y1668" s="3"/>
    </row>
    <row r="1669">
      <c r="A1669" s="5"/>
      <c r="B1669" s="5"/>
      <c r="C1669" s="5"/>
      <c r="D1669" s="5"/>
      <c r="E1669" s="3"/>
      <c r="F1669" s="5"/>
      <c r="G1669" s="5"/>
      <c r="H1669" s="5"/>
      <c r="I1669" s="3"/>
      <c r="J1669" s="3"/>
      <c r="K1669" s="3"/>
      <c r="L1669" s="3"/>
      <c r="M1669" s="3"/>
      <c r="N1669" s="3"/>
      <c r="O1669" s="3"/>
      <c r="P1669" s="3"/>
      <c r="Q1669" s="3"/>
      <c r="R1669" s="3"/>
      <c r="S1669" s="3"/>
      <c r="T1669" s="3"/>
      <c r="U1669" s="3"/>
      <c r="V1669" s="3"/>
      <c r="W1669" s="3"/>
      <c r="X1669" s="3"/>
      <c r="Y1669" s="3"/>
    </row>
    <row r="1670">
      <c r="A1670" s="5"/>
      <c r="B1670" s="5"/>
      <c r="C1670" s="5"/>
      <c r="D1670" s="5"/>
      <c r="E1670" s="3"/>
      <c r="F1670" s="5"/>
      <c r="G1670" s="5"/>
      <c r="H1670" s="5"/>
      <c r="I1670" s="3"/>
      <c r="J1670" s="3"/>
      <c r="K1670" s="3"/>
      <c r="L1670" s="3"/>
      <c r="M1670" s="3"/>
      <c r="N1670" s="3"/>
      <c r="O1670" s="3"/>
      <c r="P1670" s="3"/>
      <c r="Q1670" s="3"/>
      <c r="R1670" s="3"/>
      <c r="S1670" s="3"/>
      <c r="T1670" s="3"/>
      <c r="U1670" s="3"/>
      <c r="V1670" s="3"/>
      <c r="W1670" s="3"/>
      <c r="X1670" s="3"/>
      <c r="Y1670" s="3"/>
    </row>
    <row r="1671">
      <c r="A1671" s="5"/>
      <c r="B1671" s="5"/>
      <c r="C1671" s="5"/>
      <c r="D1671" s="5"/>
      <c r="E1671" s="3"/>
      <c r="F1671" s="5"/>
      <c r="G1671" s="5"/>
      <c r="H1671" s="5"/>
      <c r="I1671" s="3"/>
      <c r="J1671" s="3"/>
      <c r="K1671" s="3"/>
      <c r="L1671" s="3"/>
      <c r="M1671" s="3"/>
      <c r="N1671" s="3"/>
      <c r="O1671" s="3"/>
      <c r="P1671" s="3"/>
      <c r="Q1671" s="3"/>
      <c r="R1671" s="3"/>
      <c r="S1671" s="3"/>
      <c r="T1671" s="3"/>
      <c r="U1671" s="3"/>
      <c r="V1671" s="3"/>
      <c r="W1671" s="3"/>
      <c r="X1671" s="3"/>
      <c r="Y1671" s="3"/>
    </row>
    <row r="1672">
      <c r="A1672" s="5"/>
      <c r="B1672" s="5"/>
      <c r="C1672" s="5"/>
      <c r="D1672" s="5"/>
      <c r="E1672" s="3"/>
      <c r="F1672" s="5"/>
      <c r="G1672" s="5"/>
      <c r="H1672" s="5"/>
      <c r="I1672" s="3"/>
      <c r="J1672" s="3"/>
      <c r="K1672" s="3"/>
      <c r="L1672" s="3"/>
      <c r="M1672" s="3"/>
      <c r="N1672" s="3"/>
      <c r="O1672" s="3"/>
      <c r="P1672" s="3"/>
      <c r="Q1672" s="3"/>
      <c r="R1672" s="3"/>
      <c r="S1672" s="3"/>
      <c r="T1672" s="3"/>
      <c r="U1672" s="3"/>
      <c r="V1672" s="3"/>
      <c r="W1672" s="3"/>
      <c r="X1672" s="3"/>
      <c r="Y1672" s="3"/>
    </row>
    <row r="1673">
      <c r="A1673" s="5"/>
      <c r="B1673" s="5"/>
      <c r="C1673" s="5"/>
      <c r="D1673" s="5"/>
      <c r="E1673" s="3"/>
      <c r="F1673" s="5"/>
      <c r="G1673" s="5"/>
      <c r="H1673" s="5"/>
      <c r="I1673" s="3"/>
      <c r="J1673" s="3"/>
      <c r="K1673" s="3"/>
      <c r="L1673" s="3"/>
      <c r="M1673" s="3"/>
      <c r="N1673" s="3"/>
      <c r="O1673" s="3"/>
      <c r="P1673" s="3"/>
      <c r="Q1673" s="3"/>
      <c r="R1673" s="3"/>
      <c r="S1673" s="3"/>
      <c r="T1673" s="3"/>
      <c r="U1673" s="3"/>
      <c r="V1673" s="3"/>
      <c r="W1673" s="3"/>
      <c r="X1673" s="3"/>
      <c r="Y1673" s="3"/>
    </row>
    <row r="1674">
      <c r="A1674" s="5"/>
      <c r="B1674" s="5"/>
      <c r="C1674" s="5"/>
      <c r="D1674" s="5"/>
      <c r="E1674" s="3"/>
      <c r="F1674" s="5"/>
      <c r="G1674" s="5"/>
      <c r="H1674" s="5"/>
      <c r="I1674" s="3"/>
      <c r="J1674" s="3"/>
      <c r="K1674" s="3"/>
      <c r="L1674" s="3"/>
      <c r="M1674" s="3"/>
      <c r="N1674" s="3"/>
      <c r="O1674" s="3"/>
      <c r="P1674" s="3"/>
      <c r="Q1674" s="3"/>
      <c r="R1674" s="3"/>
      <c r="S1674" s="3"/>
      <c r="T1674" s="3"/>
      <c r="U1674" s="3"/>
      <c r="V1674" s="3"/>
      <c r="W1674" s="3"/>
      <c r="X1674" s="3"/>
      <c r="Y1674" s="3"/>
    </row>
    <row r="1675">
      <c r="A1675" s="5"/>
      <c r="B1675" s="5"/>
      <c r="C1675" s="5"/>
      <c r="D1675" s="5"/>
      <c r="E1675" s="3"/>
      <c r="F1675" s="5"/>
      <c r="G1675" s="5"/>
      <c r="H1675" s="5"/>
      <c r="I1675" s="3"/>
      <c r="J1675" s="3"/>
      <c r="K1675" s="3"/>
      <c r="L1675" s="3"/>
      <c r="M1675" s="3"/>
      <c r="N1675" s="3"/>
      <c r="O1675" s="3"/>
      <c r="P1675" s="3"/>
      <c r="Q1675" s="3"/>
      <c r="R1675" s="3"/>
      <c r="S1675" s="3"/>
      <c r="T1675" s="3"/>
      <c r="U1675" s="3"/>
      <c r="V1675" s="3"/>
      <c r="W1675" s="3"/>
      <c r="X1675" s="3"/>
      <c r="Y1675" s="3"/>
    </row>
    <row r="1676">
      <c r="A1676" s="5"/>
      <c r="B1676" s="5"/>
      <c r="C1676" s="5"/>
      <c r="D1676" s="5"/>
      <c r="E1676" s="3"/>
      <c r="F1676" s="5"/>
      <c r="G1676" s="5"/>
      <c r="H1676" s="5"/>
      <c r="I1676" s="3"/>
      <c r="J1676" s="3"/>
      <c r="K1676" s="3"/>
      <c r="L1676" s="3"/>
      <c r="M1676" s="3"/>
      <c r="N1676" s="3"/>
      <c r="O1676" s="3"/>
      <c r="P1676" s="3"/>
      <c r="Q1676" s="3"/>
      <c r="R1676" s="3"/>
      <c r="S1676" s="3"/>
      <c r="T1676" s="3"/>
      <c r="U1676" s="3"/>
      <c r="V1676" s="3"/>
      <c r="W1676" s="3"/>
      <c r="X1676" s="3"/>
      <c r="Y1676" s="3"/>
    </row>
    <row r="1677">
      <c r="A1677" s="5"/>
      <c r="B1677" s="5"/>
      <c r="C1677" s="5"/>
      <c r="D1677" s="5"/>
      <c r="E1677" s="3"/>
      <c r="F1677" s="5"/>
      <c r="G1677" s="5"/>
      <c r="H1677" s="5"/>
      <c r="I1677" s="3"/>
      <c r="J1677" s="3"/>
      <c r="K1677" s="3"/>
      <c r="L1677" s="3"/>
      <c r="M1677" s="3"/>
      <c r="N1677" s="3"/>
      <c r="O1677" s="3"/>
      <c r="P1677" s="3"/>
      <c r="Q1677" s="3"/>
      <c r="R1677" s="3"/>
      <c r="S1677" s="3"/>
      <c r="T1677" s="3"/>
      <c r="U1677" s="3"/>
      <c r="V1677" s="3"/>
      <c r="W1677" s="3"/>
      <c r="X1677" s="3"/>
      <c r="Y1677" s="3"/>
    </row>
    <row r="1678">
      <c r="A1678" s="5"/>
      <c r="B1678" s="5"/>
      <c r="C1678" s="5"/>
      <c r="D1678" s="5"/>
      <c r="E1678" s="3"/>
      <c r="F1678" s="5"/>
      <c r="G1678" s="5"/>
      <c r="H1678" s="5"/>
      <c r="I1678" s="3"/>
      <c r="J1678" s="3"/>
      <c r="K1678" s="3"/>
      <c r="L1678" s="3"/>
      <c r="M1678" s="3"/>
      <c r="N1678" s="3"/>
      <c r="O1678" s="3"/>
      <c r="P1678" s="3"/>
      <c r="Q1678" s="3"/>
      <c r="R1678" s="3"/>
      <c r="S1678" s="3"/>
      <c r="T1678" s="3"/>
      <c r="U1678" s="3"/>
      <c r="V1678" s="3"/>
      <c r="W1678" s="3"/>
      <c r="X1678" s="3"/>
      <c r="Y1678" s="3"/>
    </row>
    <row r="1679">
      <c r="A1679" s="5"/>
      <c r="B1679" s="5"/>
      <c r="C1679" s="5"/>
      <c r="D1679" s="5"/>
      <c r="E1679" s="3"/>
      <c r="F1679" s="5"/>
      <c r="G1679" s="5"/>
      <c r="H1679" s="5"/>
      <c r="I1679" s="3"/>
      <c r="J1679" s="3"/>
      <c r="K1679" s="3"/>
      <c r="L1679" s="3"/>
      <c r="M1679" s="3"/>
      <c r="N1679" s="3"/>
      <c r="O1679" s="3"/>
      <c r="P1679" s="3"/>
      <c r="Q1679" s="3"/>
      <c r="R1679" s="3"/>
      <c r="S1679" s="3"/>
      <c r="T1679" s="3"/>
      <c r="U1679" s="3"/>
      <c r="V1679" s="3"/>
      <c r="W1679" s="3"/>
      <c r="X1679" s="3"/>
      <c r="Y1679" s="3"/>
    </row>
    <row r="1680">
      <c r="A1680" s="5"/>
      <c r="B1680" s="5"/>
      <c r="C1680" s="5"/>
      <c r="D1680" s="5"/>
      <c r="E1680" s="3"/>
      <c r="F1680" s="5"/>
      <c r="G1680" s="5"/>
      <c r="H1680" s="5"/>
      <c r="I1680" s="3"/>
      <c r="J1680" s="3"/>
      <c r="K1680" s="3"/>
      <c r="L1680" s="3"/>
      <c r="M1680" s="3"/>
      <c r="N1680" s="3"/>
      <c r="O1680" s="3"/>
      <c r="P1680" s="3"/>
      <c r="Q1680" s="3"/>
      <c r="R1680" s="3"/>
      <c r="S1680" s="3"/>
      <c r="T1680" s="3"/>
      <c r="U1680" s="3"/>
      <c r="V1680" s="3"/>
      <c r="W1680" s="3"/>
      <c r="X1680" s="3"/>
      <c r="Y1680" s="3"/>
    </row>
    <row r="1681">
      <c r="A1681" s="5"/>
      <c r="B1681" s="5"/>
      <c r="C1681" s="5"/>
      <c r="D1681" s="5"/>
      <c r="E1681" s="3"/>
      <c r="F1681" s="5"/>
      <c r="G1681" s="5"/>
      <c r="H1681" s="5"/>
      <c r="I1681" s="3"/>
      <c r="J1681" s="3"/>
      <c r="K1681" s="3"/>
      <c r="L1681" s="3"/>
      <c r="M1681" s="3"/>
      <c r="N1681" s="3"/>
      <c r="O1681" s="3"/>
      <c r="P1681" s="3"/>
      <c r="Q1681" s="3"/>
      <c r="R1681" s="3"/>
      <c r="S1681" s="3"/>
      <c r="T1681" s="3"/>
      <c r="U1681" s="3"/>
      <c r="V1681" s="3"/>
      <c r="W1681" s="3"/>
      <c r="X1681" s="3"/>
      <c r="Y1681" s="3"/>
    </row>
    <row r="1682">
      <c r="A1682" s="5"/>
      <c r="B1682" s="5"/>
      <c r="C1682" s="5"/>
      <c r="D1682" s="5"/>
      <c r="E1682" s="3"/>
      <c r="F1682" s="5"/>
      <c r="G1682" s="5"/>
      <c r="H1682" s="5"/>
      <c r="I1682" s="3"/>
      <c r="J1682" s="3"/>
      <c r="K1682" s="3"/>
      <c r="L1682" s="3"/>
      <c r="M1682" s="3"/>
      <c r="N1682" s="3"/>
      <c r="O1682" s="3"/>
      <c r="P1682" s="3"/>
      <c r="Q1682" s="3"/>
      <c r="R1682" s="3"/>
      <c r="S1682" s="3"/>
      <c r="T1682" s="3"/>
      <c r="U1682" s="3"/>
      <c r="V1682" s="3"/>
      <c r="W1682" s="3"/>
      <c r="X1682" s="3"/>
      <c r="Y1682" s="3"/>
    </row>
    <row r="1683">
      <c r="A1683" s="5"/>
      <c r="B1683" s="5"/>
      <c r="C1683" s="5"/>
      <c r="D1683" s="5"/>
      <c r="E1683" s="3"/>
      <c r="F1683" s="5"/>
      <c r="G1683" s="5"/>
      <c r="H1683" s="5"/>
      <c r="I1683" s="3"/>
      <c r="J1683" s="3"/>
      <c r="K1683" s="3"/>
      <c r="L1683" s="3"/>
      <c r="M1683" s="3"/>
      <c r="N1683" s="3"/>
      <c r="O1683" s="3"/>
      <c r="P1683" s="3"/>
      <c r="Q1683" s="3"/>
      <c r="R1683" s="3"/>
      <c r="S1683" s="3"/>
      <c r="T1683" s="3"/>
      <c r="U1683" s="3"/>
      <c r="V1683" s="3"/>
      <c r="W1683" s="3"/>
      <c r="X1683" s="3"/>
      <c r="Y1683" s="3"/>
    </row>
    <row r="1684">
      <c r="A1684" s="5"/>
      <c r="B1684" s="5"/>
      <c r="C1684" s="5"/>
      <c r="D1684" s="5"/>
      <c r="E1684" s="3"/>
      <c r="F1684" s="5"/>
      <c r="G1684" s="5"/>
      <c r="H1684" s="5"/>
      <c r="I1684" s="3"/>
      <c r="J1684" s="3"/>
      <c r="K1684" s="3"/>
      <c r="L1684" s="3"/>
      <c r="M1684" s="3"/>
      <c r="N1684" s="3"/>
      <c r="O1684" s="3"/>
      <c r="P1684" s="3"/>
      <c r="Q1684" s="3"/>
      <c r="R1684" s="3"/>
      <c r="S1684" s="3"/>
      <c r="T1684" s="3"/>
      <c r="U1684" s="3"/>
      <c r="V1684" s="3"/>
      <c r="W1684" s="3"/>
      <c r="X1684" s="3"/>
      <c r="Y1684" s="3"/>
    </row>
    <row r="1685">
      <c r="A1685" s="5"/>
      <c r="B1685" s="5"/>
      <c r="C1685" s="5"/>
      <c r="D1685" s="5"/>
      <c r="E1685" s="3"/>
      <c r="F1685" s="5"/>
      <c r="G1685" s="5"/>
      <c r="H1685" s="5"/>
      <c r="I1685" s="3"/>
      <c r="J1685" s="3"/>
      <c r="K1685" s="3"/>
      <c r="L1685" s="3"/>
      <c r="M1685" s="3"/>
      <c r="N1685" s="3"/>
      <c r="O1685" s="3"/>
      <c r="P1685" s="3"/>
      <c r="Q1685" s="3"/>
      <c r="R1685" s="3"/>
      <c r="S1685" s="3"/>
      <c r="T1685" s="3"/>
      <c r="U1685" s="3"/>
      <c r="V1685" s="3"/>
      <c r="W1685" s="3"/>
      <c r="X1685" s="3"/>
      <c r="Y1685" s="3"/>
    </row>
    <row r="1686">
      <c r="A1686" s="5"/>
      <c r="B1686" s="5"/>
      <c r="C1686" s="5"/>
      <c r="D1686" s="5"/>
      <c r="E1686" s="3"/>
      <c r="F1686" s="5"/>
      <c r="G1686" s="5"/>
      <c r="H1686" s="5"/>
      <c r="I1686" s="3"/>
      <c r="J1686" s="3"/>
      <c r="K1686" s="3"/>
      <c r="L1686" s="3"/>
      <c r="M1686" s="3"/>
      <c r="N1686" s="3"/>
      <c r="O1686" s="3"/>
      <c r="P1686" s="3"/>
      <c r="Q1686" s="3"/>
      <c r="R1686" s="3"/>
      <c r="S1686" s="3"/>
      <c r="T1686" s="3"/>
      <c r="U1686" s="3"/>
      <c r="V1686" s="3"/>
      <c r="W1686" s="3"/>
      <c r="X1686" s="3"/>
      <c r="Y1686" s="3"/>
    </row>
    <row r="1687">
      <c r="A1687" s="5"/>
      <c r="B1687" s="5"/>
      <c r="C1687" s="5"/>
      <c r="D1687" s="5"/>
      <c r="E1687" s="3"/>
      <c r="F1687" s="5"/>
      <c r="G1687" s="5"/>
      <c r="H1687" s="5"/>
      <c r="I1687" s="3"/>
      <c r="J1687" s="3"/>
      <c r="K1687" s="3"/>
      <c r="L1687" s="3"/>
      <c r="M1687" s="3"/>
      <c r="N1687" s="3"/>
      <c r="O1687" s="3"/>
      <c r="P1687" s="3"/>
      <c r="Q1687" s="3"/>
      <c r="R1687" s="3"/>
      <c r="S1687" s="3"/>
      <c r="T1687" s="3"/>
      <c r="U1687" s="3"/>
      <c r="V1687" s="3"/>
      <c r="W1687" s="3"/>
      <c r="X1687" s="3"/>
      <c r="Y1687" s="3"/>
    </row>
    <row r="1688">
      <c r="A1688" s="5"/>
      <c r="B1688" s="5"/>
      <c r="C1688" s="5"/>
      <c r="D1688" s="5"/>
      <c r="E1688" s="3"/>
      <c r="F1688" s="5"/>
      <c r="G1688" s="5"/>
      <c r="H1688" s="5"/>
      <c r="I1688" s="3"/>
      <c r="J1688" s="3"/>
      <c r="K1688" s="3"/>
      <c r="L1688" s="3"/>
      <c r="M1688" s="3"/>
      <c r="N1688" s="3"/>
      <c r="O1688" s="3"/>
      <c r="P1688" s="3"/>
      <c r="Q1688" s="3"/>
      <c r="R1688" s="3"/>
      <c r="S1688" s="3"/>
      <c r="T1688" s="3"/>
      <c r="U1688" s="3"/>
      <c r="V1688" s="3"/>
      <c r="W1688" s="3"/>
      <c r="X1688" s="3"/>
      <c r="Y1688" s="3"/>
    </row>
    <row r="1689">
      <c r="A1689" s="5"/>
      <c r="B1689" s="5"/>
      <c r="C1689" s="5"/>
      <c r="D1689" s="5"/>
      <c r="E1689" s="3"/>
      <c r="F1689" s="5"/>
      <c r="G1689" s="5"/>
      <c r="H1689" s="5"/>
      <c r="I1689" s="3"/>
      <c r="J1689" s="3"/>
      <c r="K1689" s="3"/>
      <c r="L1689" s="3"/>
      <c r="M1689" s="3"/>
      <c r="N1689" s="3"/>
      <c r="O1689" s="3"/>
      <c r="P1689" s="3"/>
      <c r="Q1689" s="3"/>
      <c r="R1689" s="3"/>
      <c r="S1689" s="3"/>
      <c r="T1689" s="3"/>
      <c r="U1689" s="3"/>
      <c r="V1689" s="3"/>
      <c r="W1689" s="3"/>
      <c r="X1689" s="3"/>
      <c r="Y1689" s="3"/>
    </row>
    <row r="1690">
      <c r="A1690" s="5"/>
      <c r="B1690" s="5"/>
      <c r="C1690" s="5"/>
      <c r="D1690" s="5"/>
      <c r="E1690" s="3"/>
      <c r="F1690" s="5"/>
      <c r="G1690" s="5"/>
      <c r="H1690" s="5"/>
      <c r="I1690" s="3"/>
      <c r="J1690" s="3"/>
      <c r="K1690" s="3"/>
      <c r="L1690" s="3"/>
      <c r="M1690" s="3"/>
      <c r="N1690" s="3"/>
      <c r="O1690" s="3"/>
      <c r="P1690" s="3"/>
      <c r="Q1690" s="3"/>
      <c r="R1690" s="3"/>
      <c r="S1690" s="3"/>
      <c r="T1690" s="3"/>
      <c r="U1690" s="3"/>
      <c r="V1690" s="3"/>
      <c r="W1690" s="3"/>
      <c r="X1690" s="3"/>
      <c r="Y1690" s="3"/>
    </row>
    <row r="1691">
      <c r="A1691" s="5"/>
      <c r="B1691" s="5"/>
      <c r="C1691" s="5"/>
      <c r="D1691" s="5"/>
      <c r="E1691" s="3"/>
      <c r="F1691" s="5"/>
      <c r="G1691" s="5"/>
      <c r="H1691" s="5"/>
      <c r="I1691" s="3"/>
      <c r="J1691" s="3"/>
      <c r="K1691" s="3"/>
      <c r="L1691" s="3"/>
      <c r="M1691" s="3"/>
      <c r="N1691" s="3"/>
      <c r="O1691" s="3"/>
      <c r="P1691" s="3"/>
      <c r="Q1691" s="3"/>
      <c r="R1691" s="3"/>
      <c r="S1691" s="3"/>
      <c r="T1691" s="3"/>
      <c r="U1691" s="3"/>
      <c r="V1691" s="3"/>
      <c r="W1691" s="3"/>
      <c r="X1691" s="3"/>
      <c r="Y1691" s="3"/>
    </row>
    <row r="1692">
      <c r="A1692" s="5"/>
      <c r="B1692" s="5"/>
      <c r="C1692" s="5"/>
      <c r="D1692" s="5"/>
      <c r="E1692" s="3"/>
      <c r="F1692" s="5"/>
      <c r="G1692" s="5"/>
      <c r="H1692" s="5"/>
      <c r="I1692" s="3"/>
      <c r="J1692" s="3"/>
      <c r="K1692" s="3"/>
      <c r="L1692" s="3"/>
      <c r="M1692" s="3"/>
      <c r="N1692" s="3"/>
      <c r="O1692" s="3"/>
      <c r="P1692" s="3"/>
      <c r="Q1692" s="3"/>
      <c r="R1692" s="3"/>
      <c r="S1692" s="3"/>
      <c r="T1692" s="3"/>
      <c r="U1692" s="3"/>
      <c r="V1692" s="3"/>
      <c r="W1692" s="3"/>
      <c r="X1692" s="3"/>
      <c r="Y1692" s="3"/>
    </row>
    <row r="1693">
      <c r="A1693" s="5"/>
      <c r="B1693" s="5"/>
      <c r="C1693" s="5"/>
      <c r="D1693" s="5"/>
      <c r="E1693" s="3"/>
      <c r="F1693" s="5"/>
      <c r="G1693" s="5"/>
      <c r="H1693" s="5"/>
      <c r="I1693" s="3"/>
      <c r="J1693" s="3"/>
      <c r="K1693" s="3"/>
      <c r="L1693" s="3"/>
      <c r="M1693" s="3"/>
      <c r="N1693" s="3"/>
      <c r="O1693" s="3"/>
      <c r="P1693" s="3"/>
      <c r="Q1693" s="3"/>
      <c r="R1693" s="3"/>
      <c r="S1693" s="3"/>
      <c r="T1693" s="3"/>
      <c r="U1693" s="3"/>
      <c r="V1693" s="3"/>
      <c r="W1693" s="3"/>
      <c r="X1693" s="3"/>
      <c r="Y1693" s="3"/>
    </row>
    <row r="1694">
      <c r="A1694" s="5"/>
      <c r="B1694" s="5"/>
      <c r="C1694" s="5"/>
      <c r="D1694" s="5"/>
      <c r="E1694" s="3"/>
      <c r="F1694" s="5"/>
      <c r="G1694" s="5"/>
      <c r="H1694" s="5"/>
      <c r="I1694" s="3"/>
      <c r="J1694" s="3"/>
      <c r="K1694" s="3"/>
      <c r="L1694" s="3"/>
      <c r="M1694" s="3"/>
      <c r="N1694" s="3"/>
      <c r="O1694" s="3"/>
      <c r="P1694" s="3"/>
      <c r="Q1694" s="3"/>
      <c r="R1694" s="3"/>
      <c r="S1694" s="3"/>
      <c r="T1694" s="3"/>
      <c r="U1694" s="3"/>
      <c r="V1694" s="3"/>
      <c r="W1694" s="3"/>
      <c r="X1694" s="3"/>
      <c r="Y1694" s="3"/>
    </row>
    <row r="1695">
      <c r="A1695" s="5"/>
      <c r="B1695" s="5"/>
      <c r="C1695" s="5"/>
      <c r="D1695" s="5"/>
      <c r="E1695" s="3"/>
      <c r="F1695" s="5"/>
      <c r="G1695" s="5"/>
      <c r="H1695" s="5"/>
      <c r="I1695" s="3"/>
      <c r="J1695" s="3"/>
      <c r="K1695" s="3"/>
      <c r="L1695" s="3"/>
      <c r="M1695" s="3"/>
      <c r="N1695" s="3"/>
      <c r="O1695" s="3"/>
      <c r="P1695" s="3"/>
      <c r="Q1695" s="3"/>
      <c r="R1695" s="3"/>
      <c r="S1695" s="3"/>
      <c r="T1695" s="3"/>
      <c r="U1695" s="3"/>
      <c r="V1695" s="3"/>
      <c r="W1695" s="3"/>
      <c r="X1695" s="3"/>
      <c r="Y1695" s="3"/>
    </row>
    <row r="1696">
      <c r="A1696" s="5"/>
      <c r="B1696" s="5"/>
      <c r="C1696" s="5"/>
      <c r="D1696" s="5"/>
      <c r="E1696" s="3"/>
      <c r="F1696" s="5"/>
      <c r="G1696" s="5"/>
      <c r="H1696" s="5"/>
      <c r="I1696" s="3"/>
      <c r="J1696" s="3"/>
      <c r="K1696" s="3"/>
      <c r="L1696" s="3"/>
      <c r="M1696" s="3"/>
      <c r="N1696" s="3"/>
      <c r="O1696" s="3"/>
      <c r="P1696" s="3"/>
      <c r="Q1696" s="3"/>
      <c r="R1696" s="3"/>
      <c r="S1696" s="3"/>
      <c r="T1696" s="3"/>
      <c r="U1696" s="3"/>
      <c r="V1696" s="3"/>
      <c r="W1696" s="3"/>
      <c r="X1696" s="3"/>
      <c r="Y1696" s="3"/>
    </row>
    <row r="1697">
      <c r="A1697" s="5"/>
      <c r="B1697" s="5"/>
      <c r="C1697" s="5"/>
      <c r="D1697" s="5"/>
      <c r="E1697" s="3"/>
      <c r="F1697" s="5"/>
      <c r="G1697" s="5"/>
      <c r="H1697" s="5"/>
      <c r="I1697" s="3"/>
      <c r="J1697" s="3"/>
      <c r="K1697" s="3"/>
      <c r="L1697" s="3"/>
      <c r="M1697" s="3"/>
      <c r="N1697" s="3"/>
      <c r="O1697" s="3"/>
      <c r="P1697" s="3"/>
      <c r="Q1697" s="3"/>
      <c r="R1697" s="3"/>
      <c r="S1697" s="3"/>
      <c r="T1697" s="3"/>
      <c r="U1697" s="3"/>
      <c r="V1697" s="3"/>
      <c r="W1697" s="3"/>
      <c r="X1697" s="3"/>
      <c r="Y1697" s="3"/>
    </row>
    <row r="1698">
      <c r="A1698" s="5"/>
      <c r="B1698" s="5"/>
      <c r="C1698" s="5"/>
      <c r="D1698" s="5"/>
      <c r="E1698" s="3"/>
      <c r="F1698" s="5"/>
      <c r="G1698" s="5"/>
      <c r="H1698" s="5"/>
      <c r="I1698" s="3"/>
      <c r="J1698" s="3"/>
      <c r="K1698" s="3"/>
      <c r="L1698" s="3"/>
      <c r="M1698" s="3"/>
      <c r="N1698" s="3"/>
      <c r="O1698" s="3"/>
      <c r="P1698" s="3"/>
      <c r="Q1698" s="3"/>
      <c r="R1698" s="3"/>
      <c r="S1698" s="3"/>
      <c r="T1698" s="3"/>
      <c r="U1698" s="3"/>
      <c r="V1698" s="3"/>
      <c r="W1698" s="3"/>
      <c r="X1698" s="3"/>
      <c r="Y1698" s="3"/>
    </row>
    <row r="1699">
      <c r="A1699" s="5"/>
      <c r="B1699" s="5"/>
      <c r="C1699" s="5"/>
      <c r="D1699" s="5"/>
      <c r="E1699" s="3"/>
      <c r="F1699" s="5"/>
      <c r="G1699" s="5"/>
      <c r="H1699" s="5"/>
      <c r="I1699" s="3"/>
      <c r="J1699" s="3"/>
      <c r="K1699" s="3"/>
      <c r="L1699" s="3"/>
      <c r="M1699" s="3"/>
      <c r="N1699" s="3"/>
      <c r="O1699" s="3"/>
      <c r="P1699" s="3"/>
      <c r="Q1699" s="3"/>
      <c r="R1699" s="3"/>
      <c r="S1699" s="3"/>
      <c r="T1699" s="3"/>
      <c r="U1699" s="3"/>
      <c r="V1699" s="3"/>
      <c r="W1699" s="3"/>
      <c r="X1699" s="3"/>
      <c r="Y1699" s="3"/>
    </row>
    <row r="1700">
      <c r="A1700" s="5"/>
      <c r="B1700" s="5"/>
      <c r="C1700" s="5"/>
      <c r="D1700" s="5"/>
      <c r="E1700" s="3"/>
      <c r="F1700" s="5"/>
      <c r="G1700" s="5"/>
      <c r="H1700" s="5"/>
      <c r="I1700" s="3"/>
      <c r="J1700" s="3"/>
      <c r="K1700" s="3"/>
      <c r="L1700" s="3"/>
      <c r="M1700" s="3"/>
      <c r="N1700" s="3"/>
      <c r="O1700" s="3"/>
      <c r="P1700" s="3"/>
      <c r="Q1700" s="3"/>
      <c r="R1700" s="3"/>
      <c r="S1700" s="3"/>
      <c r="T1700" s="3"/>
      <c r="U1700" s="3"/>
      <c r="V1700" s="3"/>
      <c r="W1700" s="3"/>
      <c r="X1700" s="3"/>
      <c r="Y1700" s="3"/>
    </row>
    <row r="1701">
      <c r="A1701" s="5"/>
      <c r="B1701" s="5"/>
      <c r="C1701" s="5"/>
      <c r="D1701" s="5"/>
      <c r="E1701" s="3"/>
      <c r="F1701" s="5"/>
      <c r="G1701" s="5"/>
      <c r="H1701" s="5"/>
      <c r="I1701" s="3"/>
      <c r="J1701" s="3"/>
      <c r="K1701" s="3"/>
      <c r="L1701" s="3"/>
      <c r="M1701" s="3"/>
      <c r="N1701" s="3"/>
      <c r="O1701" s="3"/>
      <c r="P1701" s="3"/>
      <c r="Q1701" s="3"/>
      <c r="R1701" s="3"/>
      <c r="S1701" s="3"/>
      <c r="T1701" s="3"/>
      <c r="U1701" s="3"/>
      <c r="V1701" s="3"/>
      <c r="W1701" s="3"/>
      <c r="X1701" s="3"/>
      <c r="Y1701" s="3"/>
    </row>
    <row r="1702">
      <c r="A1702" s="5"/>
      <c r="B1702" s="5"/>
      <c r="C1702" s="5"/>
      <c r="D1702" s="5"/>
      <c r="E1702" s="3"/>
      <c r="F1702" s="5"/>
      <c r="G1702" s="5"/>
      <c r="H1702" s="5"/>
      <c r="I1702" s="3"/>
      <c r="J1702" s="3"/>
      <c r="K1702" s="3"/>
      <c r="L1702" s="3"/>
      <c r="M1702" s="3"/>
      <c r="N1702" s="3"/>
      <c r="O1702" s="3"/>
      <c r="P1702" s="3"/>
      <c r="Q1702" s="3"/>
      <c r="R1702" s="3"/>
      <c r="S1702" s="3"/>
      <c r="T1702" s="3"/>
      <c r="U1702" s="3"/>
      <c r="V1702" s="3"/>
      <c r="W1702" s="3"/>
      <c r="X1702" s="3"/>
      <c r="Y1702" s="3"/>
    </row>
    <row r="1703">
      <c r="A1703" s="5"/>
      <c r="B1703" s="5"/>
      <c r="C1703" s="5"/>
      <c r="D1703" s="5"/>
      <c r="E1703" s="3"/>
      <c r="F1703" s="5"/>
      <c r="G1703" s="5"/>
      <c r="H1703" s="5"/>
      <c r="I1703" s="3"/>
      <c r="J1703" s="3"/>
      <c r="K1703" s="3"/>
      <c r="L1703" s="3"/>
      <c r="M1703" s="3"/>
      <c r="N1703" s="3"/>
      <c r="O1703" s="3"/>
      <c r="P1703" s="3"/>
      <c r="Q1703" s="3"/>
      <c r="R1703" s="3"/>
      <c r="S1703" s="3"/>
      <c r="T1703" s="3"/>
      <c r="U1703" s="3"/>
      <c r="V1703" s="3"/>
      <c r="W1703" s="3"/>
      <c r="X1703" s="3"/>
      <c r="Y1703" s="3"/>
    </row>
    <row r="1704">
      <c r="A1704" s="5"/>
      <c r="B1704" s="5"/>
      <c r="C1704" s="5"/>
      <c r="D1704" s="5"/>
      <c r="E1704" s="3"/>
      <c r="F1704" s="5"/>
      <c r="G1704" s="5"/>
      <c r="H1704" s="5"/>
      <c r="I1704" s="3"/>
      <c r="J1704" s="3"/>
      <c r="K1704" s="3"/>
      <c r="L1704" s="3"/>
      <c r="M1704" s="3"/>
      <c r="N1704" s="3"/>
      <c r="O1704" s="3"/>
      <c r="P1704" s="3"/>
      <c r="Q1704" s="3"/>
      <c r="R1704" s="3"/>
      <c r="S1704" s="3"/>
      <c r="T1704" s="3"/>
      <c r="U1704" s="3"/>
      <c r="V1704" s="3"/>
      <c r="W1704" s="3"/>
      <c r="X1704" s="3"/>
      <c r="Y1704" s="3"/>
    </row>
    <row r="1705">
      <c r="A1705" s="5"/>
      <c r="B1705" s="5"/>
      <c r="C1705" s="5"/>
      <c r="D1705" s="5"/>
      <c r="E1705" s="3"/>
      <c r="F1705" s="5"/>
      <c r="G1705" s="5"/>
      <c r="H1705" s="5"/>
      <c r="I1705" s="3"/>
      <c r="J1705" s="3"/>
      <c r="K1705" s="3"/>
      <c r="L1705" s="3"/>
      <c r="M1705" s="3"/>
      <c r="N1705" s="3"/>
      <c r="O1705" s="3"/>
      <c r="P1705" s="3"/>
      <c r="Q1705" s="3"/>
      <c r="R1705" s="3"/>
      <c r="S1705" s="3"/>
      <c r="T1705" s="3"/>
      <c r="U1705" s="3"/>
      <c r="V1705" s="3"/>
      <c r="W1705" s="3"/>
      <c r="X1705" s="3"/>
      <c r="Y1705" s="3"/>
    </row>
    <row r="1706">
      <c r="A1706" s="5"/>
      <c r="B1706" s="5"/>
      <c r="C1706" s="5"/>
      <c r="D1706" s="5"/>
      <c r="E1706" s="3"/>
      <c r="F1706" s="5"/>
      <c r="G1706" s="5"/>
      <c r="H1706" s="5"/>
      <c r="I1706" s="3"/>
      <c r="J1706" s="3"/>
      <c r="K1706" s="3"/>
      <c r="L1706" s="3"/>
      <c r="M1706" s="3"/>
      <c r="N1706" s="3"/>
      <c r="O1706" s="3"/>
      <c r="P1706" s="3"/>
      <c r="Q1706" s="3"/>
      <c r="R1706" s="3"/>
      <c r="S1706" s="3"/>
      <c r="T1706" s="3"/>
      <c r="U1706" s="3"/>
      <c r="V1706" s="3"/>
      <c r="W1706" s="3"/>
      <c r="X1706" s="3"/>
      <c r="Y1706" s="3"/>
    </row>
    <row r="1707">
      <c r="A1707" s="5"/>
      <c r="B1707" s="5"/>
      <c r="C1707" s="5"/>
      <c r="D1707" s="5"/>
      <c r="E1707" s="3"/>
      <c r="F1707" s="5"/>
      <c r="G1707" s="5"/>
      <c r="H1707" s="5"/>
      <c r="I1707" s="3"/>
      <c r="J1707" s="3"/>
      <c r="K1707" s="3"/>
      <c r="L1707" s="3"/>
      <c r="M1707" s="3"/>
      <c r="N1707" s="3"/>
      <c r="O1707" s="3"/>
      <c r="P1707" s="3"/>
      <c r="Q1707" s="3"/>
      <c r="R1707" s="3"/>
      <c r="S1707" s="3"/>
      <c r="T1707" s="3"/>
      <c r="U1707" s="3"/>
      <c r="V1707" s="3"/>
      <c r="W1707" s="3"/>
      <c r="X1707" s="3"/>
      <c r="Y1707" s="3"/>
    </row>
    <row r="1708">
      <c r="A1708" s="5"/>
      <c r="B1708" s="5"/>
      <c r="C1708" s="5"/>
      <c r="D1708" s="5"/>
      <c r="E1708" s="3"/>
      <c r="F1708" s="5"/>
      <c r="G1708" s="5"/>
      <c r="H1708" s="5"/>
      <c r="I1708" s="3"/>
      <c r="J1708" s="3"/>
      <c r="K1708" s="3"/>
      <c r="L1708" s="3"/>
      <c r="M1708" s="3"/>
      <c r="N1708" s="3"/>
      <c r="O1708" s="3"/>
      <c r="P1708" s="3"/>
      <c r="Q1708" s="3"/>
      <c r="R1708" s="3"/>
      <c r="S1708" s="3"/>
      <c r="T1708" s="3"/>
      <c r="U1708" s="3"/>
      <c r="V1708" s="3"/>
      <c r="W1708" s="3"/>
      <c r="X1708" s="3"/>
      <c r="Y1708" s="3"/>
    </row>
    <row r="1709">
      <c r="A1709" s="5"/>
      <c r="B1709" s="5"/>
      <c r="C1709" s="5"/>
      <c r="D1709" s="5"/>
      <c r="E1709" s="3"/>
      <c r="F1709" s="5"/>
      <c r="G1709" s="5"/>
      <c r="H1709" s="5"/>
      <c r="I1709" s="3"/>
      <c r="J1709" s="3"/>
      <c r="K1709" s="3"/>
      <c r="L1709" s="3"/>
      <c r="M1709" s="3"/>
      <c r="N1709" s="3"/>
      <c r="O1709" s="3"/>
      <c r="P1709" s="3"/>
      <c r="Q1709" s="3"/>
      <c r="R1709" s="3"/>
      <c r="S1709" s="3"/>
      <c r="T1709" s="3"/>
      <c r="U1709" s="3"/>
      <c r="V1709" s="3"/>
      <c r="W1709" s="3"/>
      <c r="X1709" s="3"/>
      <c r="Y1709" s="3"/>
    </row>
    <row r="1710">
      <c r="A1710" s="5"/>
      <c r="B1710" s="5"/>
      <c r="C1710" s="5"/>
      <c r="D1710" s="5"/>
      <c r="E1710" s="3"/>
      <c r="F1710" s="5"/>
      <c r="G1710" s="5"/>
      <c r="H1710" s="5"/>
      <c r="I1710" s="3"/>
      <c r="J1710" s="3"/>
      <c r="K1710" s="3"/>
      <c r="L1710" s="3"/>
      <c r="M1710" s="3"/>
      <c r="N1710" s="3"/>
      <c r="O1710" s="3"/>
      <c r="P1710" s="3"/>
      <c r="Q1710" s="3"/>
      <c r="R1710" s="3"/>
      <c r="S1710" s="3"/>
      <c r="T1710" s="3"/>
      <c r="U1710" s="3"/>
      <c r="V1710" s="3"/>
      <c r="W1710" s="3"/>
      <c r="X1710" s="3"/>
      <c r="Y1710" s="3"/>
    </row>
    <row r="1711">
      <c r="A1711" s="5"/>
      <c r="B1711" s="5"/>
      <c r="C1711" s="5"/>
      <c r="D1711" s="5"/>
      <c r="E1711" s="3"/>
      <c r="F1711" s="5"/>
      <c r="G1711" s="5"/>
      <c r="H1711" s="5"/>
      <c r="I1711" s="3"/>
      <c r="J1711" s="3"/>
      <c r="K1711" s="3"/>
      <c r="L1711" s="3"/>
      <c r="M1711" s="3"/>
      <c r="N1711" s="3"/>
      <c r="O1711" s="3"/>
      <c r="P1711" s="3"/>
      <c r="Q1711" s="3"/>
      <c r="R1711" s="3"/>
      <c r="S1711" s="3"/>
      <c r="T1711" s="3"/>
      <c r="U1711" s="3"/>
      <c r="V1711" s="3"/>
      <c r="W1711" s="3"/>
      <c r="X1711" s="3"/>
      <c r="Y1711" s="3"/>
    </row>
    <row r="1712">
      <c r="A1712" s="5"/>
      <c r="B1712" s="5"/>
      <c r="C1712" s="5"/>
      <c r="D1712" s="5"/>
      <c r="E1712" s="3"/>
      <c r="F1712" s="5"/>
      <c r="G1712" s="5"/>
      <c r="H1712" s="5"/>
      <c r="I1712" s="3"/>
      <c r="J1712" s="3"/>
      <c r="K1712" s="3"/>
      <c r="L1712" s="3"/>
      <c r="M1712" s="3"/>
      <c r="N1712" s="3"/>
      <c r="O1712" s="3"/>
      <c r="P1712" s="3"/>
      <c r="Q1712" s="3"/>
      <c r="R1712" s="3"/>
      <c r="S1712" s="3"/>
      <c r="T1712" s="3"/>
      <c r="U1712" s="3"/>
      <c r="V1712" s="3"/>
      <c r="W1712" s="3"/>
      <c r="X1712" s="3"/>
      <c r="Y1712" s="3"/>
    </row>
    <row r="1713">
      <c r="A1713" s="5"/>
      <c r="B1713" s="5"/>
      <c r="C1713" s="5"/>
      <c r="D1713" s="5"/>
      <c r="E1713" s="3"/>
      <c r="F1713" s="5"/>
      <c r="G1713" s="5"/>
      <c r="H1713" s="5"/>
      <c r="I1713" s="3"/>
      <c r="J1713" s="3"/>
      <c r="K1713" s="3"/>
      <c r="L1713" s="3"/>
      <c r="M1713" s="3"/>
      <c r="N1713" s="3"/>
      <c r="O1713" s="3"/>
      <c r="P1713" s="3"/>
      <c r="Q1713" s="3"/>
      <c r="R1713" s="3"/>
      <c r="S1713" s="3"/>
      <c r="T1713" s="3"/>
      <c r="U1713" s="3"/>
      <c r="V1713" s="3"/>
      <c r="W1713" s="3"/>
      <c r="X1713" s="3"/>
      <c r="Y1713" s="3"/>
    </row>
    <row r="1714">
      <c r="A1714" s="5"/>
      <c r="B1714" s="5"/>
      <c r="C1714" s="5"/>
      <c r="D1714" s="5"/>
      <c r="E1714" s="3"/>
      <c r="F1714" s="5"/>
      <c r="G1714" s="5"/>
      <c r="H1714" s="5"/>
      <c r="I1714" s="3"/>
      <c r="J1714" s="3"/>
      <c r="K1714" s="3"/>
      <c r="L1714" s="3"/>
      <c r="M1714" s="3"/>
      <c r="N1714" s="3"/>
      <c r="O1714" s="3"/>
      <c r="P1714" s="3"/>
      <c r="Q1714" s="3"/>
      <c r="R1714" s="3"/>
      <c r="S1714" s="3"/>
      <c r="T1714" s="3"/>
      <c r="U1714" s="3"/>
      <c r="V1714" s="3"/>
      <c r="W1714" s="3"/>
      <c r="X1714" s="3"/>
      <c r="Y1714" s="3"/>
    </row>
    <row r="1715">
      <c r="A1715" s="5"/>
      <c r="B1715" s="5"/>
      <c r="C1715" s="5"/>
      <c r="D1715" s="5"/>
      <c r="E1715" s="3"/>
      <c r="F1715" s="5"/>
      <c r="G1715" s="5"/>
      <c r="H1715" s="5"/>
      <c r="I1715" s="3"/>
      <c r="J1715" s="3"/>
      <c r="K1715" s="3"/>
      <c r="L1715" s="3"/>
      <c r="M1715" s="3"/>
      <c r="N1715" s="3"/>
      <c r="O1715" s="3"/>
      <c r="P1715" s="3"/>
      <c r="Q1715" s="3"/>
      <c r="R1715" s="3"/>
      <c r="S1715" s="3"/>
      <c r="T1715" s="3"/>
      <c r="U1715" s="3"/>
      <c r="V1715" s="3"/>
      <c r="W1715" s="3"/>
      <c r="X1715" s="3"/>
      <c r="Y1715" s="3"/>
    </row>
    <row r="1716">
      <c r="A1716" s="5"/>
      <c r="B1716" s="5"/>
      <c r="C1716" s="5"/>
      <c r="D1716" s="5"/>
      <c r="E1716" s="3"/>
      <c r="F1716" s="5"/>
      <c r="G1716" s="5"/>
      <c r="H1716" s="5"/>
      <c r="I1716" s="3"/>
      <c r="J1716" s="3"/>
      <c r="K1716" s="3"/>
      <c r="L1716" s="3"/>
      <c r="M1716" s="3"/>
      <c r="N1716" s="3"/>
      <c r="O1716" s="3"/>
      <c r="P1716" s="3"/>
      <c r="Q1716" s="3"/>
      <c r="R1716" s="3"/>
      <c r="S1716" s="3"/>
      <c r="T1716" s="3"/>
      <c r="U1716" s="3"/>
      <c r="V1716" s="3"/>
      <c r="W1716" s="3"/>
      <c r="X1716" s="3"/>
      <c r="Y1716" s="3"/>
    </row>
    <row r="1717">
      <c r="A1717" s="5"/>
      <c r="B1717" s="5"/>
      <c r="C1717" s="5"/>
      <c r="D1717" s="5"/>
      <c r="E1717" s="3"/>
      <c r="F1717" s="5"/>
      <c r="G1717" s="5"/>
      <c r="H1717" s="5"/>
      <c r="I1717" s="3"/>
      <c r="J1717" s="3"/>
      <c r="K1717" s="3"/>
      <c r="L1717" s="3"/>
      <c r="M1717" s="3"/>
      <c r="N1717" s="3"/>
      <c r="O1717" s="3"/>
      <c r="P1717" s="3"/>
      <c r="Q1717" s="3"/>
      <c r="R1717" s="3"/>
      <c r="S1717" s="3"/>
      <c r="T1717" s="3"/>
      <c r="U1717" s="3"/>
      <c r="V1717" s="3"/>
      <c r="W1717" s="3"/>
      <c r="X1717" s="3"/>
      <c r="Y1717" s="3"/>
    </row>
    <row r="1718">
      <c r="A1718" s="5"/>
      <c r="B1718" s="5"/>
      <c r="C1718" s="5"/>
      <c r="D1718" s="5"/>
      <c r="E1718" s="3"/>
      <c r="F1718" s="5"/>
      <c r="G1718" s="5"/>
      <c r="H1718" s="5"/>
      <c r="I1718" s="3"/>
      <c r="J1718" s="3"/>
      <c r="K1718" s="3"/>
      <c r="L1718" s="3"/>
      <c r="M1718" s="3"/>
      <c r="N1718" s="3"/>
      <c r="O1718" s="3"/>
      <c r="P1718" s="3"/>
      <c r="Q1718" s="3"/>
      <c r="R1718" s="3"/>
      <c r="S1718" s="3"/>
      <c r="T1718" s="3"/>
      <c r="U1718" s="3"/>
      <c r="V1718" s="3"/>
      <c r="W1718" s="3"/>
      <c r="X1718" s="3"/>
      <c r="Y1718" s="3"/>
    </row>
    <row r="1719">
      <c r="A1719" s="5"/>
      <c r="B1719" s="5"/>
      <c r="C1719" s="5"/>
      <c r="D1719" s="5"/>
      <c r="E1719" s="3"/>
      <c r="F1719" s="5"/>
      <c r="G1719" s="5"/>
      <c r="H1719" s="5"/>
      <c r="I1719" s="3"/>
      <c r="J1719" s="3"/>
      <c r="K1719" s="3"/>
      <c r="L1719" s="3"/>
      <c r="M1719" s="3"/>
      <c r="N1719" s="3"/>
      <c r="O1719" s="3"/>
      <c r="P1719" s="3"/>
      <c r="Q1719" s="3"/>
      <c r="R1719" s="3"/>
      <c r="S1719" s="3"/>
      <c r="T1719" s="3"/>
      <c r="U1719" s="3"/>
      <c r="V1719" s="3"/>
      <c r="W1719" s="3"/>
      <c r="X1719" s="3"/>
      <c r="Y1719" s="3"/>
    </row>
    <row r="1720">
      <c r="A1720" s="5"/>
      <c r="B1720" s="5"/>
      <c r="C1720" s="5"/>
      <c r="D1720" s="5"/>
      <c r="E1720" s="3"/>
      <c r="F1720" s="5"/>
      <c r="G1720" s="5"/>
      <c r="H1720" s="5"/>
      <c r="I1720" s="3"/>
      <c r="J1720" s="3"/>
      <c r="K1720" s="3"/>
      <c r="L1720" s="3"/>
      <c r="M1720" s="3"/>
      <c r="N1720" s="3"/>
      <c r="O1720" s="3"/>
      <c r="P1720" s="3"/>
      <c r="Q1720" s="3"/>
      <c r="R1720" s="3"/>
      <c r="S1720" s="3"/>
      <c r="T1720" s="3"/>
      <c r="U1720" s="3"/>
      <c r="V1720" s="3"/>
      <c r="W1720" s="3"/>
      <c r="X1720" s="3"/>
      <c r="Y1720" s="3"/>
    </row>
    <row r="1721">
      <c r="A1721" s="5"/>
      <c r="B1721" s="5"/>
      <c r="C1721" s="5"/>
      <c r="D1721" s="5"/>
      <c r="E1721" s="3"/>
      <c r="F1721" s="5"/>
      <c r="G1721" s="5"/>
      <c r="H1721" s="5"/>
      <c r="I1721" s="3"/>
      <c r="J1721" s="3"/>
      <c r="K1721" s="3"/>
      <c r="L1721" s="3"/>
      <c r="M1721" s="3"/>
      <c r="N1721" s="3"/>
      <c r="O1721" s="3"/>
      <c r="P1721" s="3"/>
      <c r="Q1721" s="3"/>
      <c r="R1721" s="3"/>
      <c r="S1721" s="3"/>
      <c r="T1721" s="3"/>
      <c r="U1721" s="3"/>
      <c r="V1721" s="3"/>
      <c r="W1721" s="3"/>
      <c r="X1721" s="3"/>
      <c r="Y1721" s="3"/>
    </row>
    <row r="1722">
      <c r="A1722" s="5"/>
      <c r="B1722" s="5"/>
      <c r="C1722" s="5"/>
      <c r="D1722" s="5"/>
      <c r="E1722" s="3"/>
      <c r="F1722" s="5"/>
      <c r="G1722" s="5"/>
      <c r="H1722" s="5"/>
      <c r="I1722" s="3"/>
      <c r="J1722" s="3"/>
      <c r="K1722" s="3"/>
      <c r="L1722" s="3"/>
      <c r="M1722" s="3"/>
      <c r="N1722" s="3"/>
      <c r="O1722" s="3"/>
      <c r="P1722" s="3"/>
      <c r="Q1722" s="3"/>
      <c r="R1722" s="3"/>
      <c r="S1722" s="3"/>
      <c r="T1722" s="3"/>
      <c r="U1722" s="3"/>
      <c r="V1722" s="3"/>
      <c r="W1722" s="3"/>
      <c r="X1722" s="3"/>
      <c r="Y1722" s="3"/>
    </row>
    <row r="1723">
      <c r="A1723" s="5"/>
      <c r="B1723" s="5"/>
      <c r="C1723" s="5"/>
      <c r="D1723" s="5"/>
      <c r="E1723" s="3"/>
      <c r="F1723" s="5"/>
      <c r="G1723" s="5"/>
      <c r="H1723" s="5"/>
      <c r="I1723" s="3"/>
      <c r="J1723" s="3"/>
      <c r="K1723" s="3"/>
      <c r="L1723" s="3"/>
      <c r="M1723" s="3"/>
      <c r="N1723" s="3"/>
      <c r="O1723" s="3"/>
      <c r="P1723" s="3"/>
      <c r="Q1723" s="3"/>
      <c r="R1723" s="3"/>
      <c r="S1723" s="3"/>
      <c r="T1723" s="3"/>
      <c r="U1723" s="3"/>
      <c r="V1723" s="3"/>
      <c r="W1723" s="3"/>
      <c r="X1723" s="3"/>
      <c r="Y1723" s="3"/>
    </row>
    <row r="1724">
      <c r="A1724" s="5"/>
      <c r="B1724" s="5"/>
      <c r="C1724" s="5"/>
      <c r="D1724" s="5"/>
      <c r="E1724" s="3"/>
      <c r="F1724" s="5"/>
      <c r="G1724" s="5"/>
      <c r="H1724" s="5"/>
      <c r="I1724" s="3"/>
      <c r="J1724" s="3"/>
      <c r="K1724" s="3"/>
      <c r="L1724" s="3"/>
      <c r="M1724" s="3"/>
      <c r="N1724" s="3"/>
      <c r="O1724" s="3"/>
      <c r="P1724" s="3"/>
      <c r="Q1724" s="3"/>
      <c r="R1724" s="3"/>
      <c r="S1724" s="3"/>
      <c r="T1724" s="3"/>
      <c r="U1724" s="3"/>
      <c r="V1724" s="3"/>
      <c r="W1724" s="3"/>
      <c r="X1724" s="3"/>
      <c r="Y1724" s="3"/>
    </row>
    <row r="1725">
      <c r="A1725" s="5"/>
      <c r="B1725" s="5"/>
      <c r="C1725" s="5"/>
      <c r="D1725" s="5"/>
      <c r="E1725" s="3"/>
      <c r="F1725" s="5"/>
      <c r="G1725" s="5"/>
      <c r="H1725" s="5"/>
      <c r="I1725" s="3"/>
      <c r="J1725" s="3"/>
      <c r="K1725" s="3"/>
      <c r="L1725" s="3"/>
      <c r="M1725" s="3"/>
      <c r="N1725" s="3"/>
      <c r="O1725" s="3"/>
      <c r="P1725" s="3"/>
      <c r="Q1725" s="3"/>
      <c r="R1725" s="3"/>
      <c r="S1725" s="3"/>
      <c r="T1725" s="3"/>
      <c r="U1725" s="3"/>
      <c r="V1725" s="3"/>
      <c r="W1725" s="3"/>
      <c r="X1725" s="3"/>
      <c r="Y1725" s="3"/>
    </row>
    <row r="1726">
      <c r="A1726" s="5"/>
      <c r="B1726" s="5"/>
      <c r="C1726" s="5"/>
      <c r="D1726" s="5"/>
      <c r="E1726" s="3"/>
      <c r="F1726" s="5"/>
      <c r="G1726" s="5"/>
      <c r="H1726" s="5"/>
      <c r="I1726" s="3"/>
      <c r="J1726" s="3"/>
      <c r="K1726" s="3"/>
      <c r="L1726" s="3"/>
      <c r="M1726" s="3"/>
      <c r="N1726" s="3"/>
      <c r="O1726" s="3"/>
      <c r="P1726" s="3"/>
      <c r="Q1726" s="3"/>
      <c r="R1726" s="3"/>
      <c r="S1726" s="3"/>
      <c r="T1726" s="3"/>
      <c r="U1726" s="3"/>
      <c r="V1726" s="3"/>
      <c r="W1726" s="3"/>
      <c r="X1726" s="3"/>
      <c r="Y1726" s="3"/>
    </row>
    <row r="1727">
      <c r="A1727" s="5"/>
      <c r="B1727" s="5"/>
      <c r="C1727" s="5"/>
      <c r="D1727" s="5"/>
      <c r="E1727" s="3"/>
      <c r="F1727" s="5"/>
      <c r="G1727" s="5"/>
      <c r="H1727" s="5"/>
      <c r="I1727" s="3"/>
      <c r="J1727" s="3"/>
      <c r="K1727" s="3"/>
      <c r="L1727" s="3"/>
      <c r="M1727" s="3"/>
      <c r="N1727" s="3"/>
      <c r="O1727" s="3"/>
      <c r="P1727" s="3"/>
      <c r="Q1727" s="3"/>
      <c r="R1727" s="3"/>
      <c r="S1727" s="3"/>
      <c r="T1727" s="3"/>
      <c r="U1727" s="3"/>
      <c r="V1727" s="3"/>
      <c r="W1727" s="3"/>
      <c r="X1727" s="3"/>
      <c r="Y1727" s="3"/>
    </row>
    <row r="1728">
      <c r="A1728" s="5"/>
      <c r="B1728" s="5"/>
      <c r="C1728" s="5"/>
      <c r="D1728" s="5"/>
      <c r="E1728" s="3"/>
      <c r="F1728" s="5"/>
      <c r="G1728" s="5"/>
      <c r="H1728" s="5"/>
      <c r="I1728" s="3"/>
      <c r="J1728" s="3"/>
      <c r="K1728" s="3"/>
      <c r="L1728" s="3"/>
      <c r="M1728" s="3"/>
      <c r="N1728" s="3"/>
      <c r="O1728" s="3"/>
      <c r="P1728" s="3"/>
      <c r="Q1728" s="3"/>
      <c r="R1728" s="3"/>
      <c r="S1728" s="3"/>
      <c r="T1728" s="3"/>
      <c r="U1728" s="3"/>
      <c r="V1728" s="3"/>
      <c r="W1728" s="3"/>
      <c r="X1728" s="3"/>
      <c r="Y1728" s="3"/>
    </row>
    <row r="1729">
      <c r="A1729" s="5"/>
      <c r="B1729" s="5"/>
      <c r="C1729" s="5"/>
      <c r="D1729" s="5"/>
      <c r="E1729" s="3"/>
      <c r="F1729" s="5"/>
      <c r="G1729" s="5"/>
      <c r="H1729" s="5"/>
      <c r="I1729" s="3"/>
      <c r="J1729" s="3"/>
      <c r="K1729" s="3"/>
      <c r="L1729" s="3"/>
      <c r="M1729" s="3"/>
      <c r="N1729" s="3"/>
      <c r="O1729" s="3"/>
      <c r="P1729" s="3"/>
      <c r="Q1729" s="3"/>
      <c r="R1729" s="3"/>
      <c r="S1729" s="3"/>
      <c r="T1729" s="3"/>
      <c r="U1729" s="3"/>
      <c r="V1729" s="3"/>
      <c r="W1729" s="3"/>
      <c r="X1729" s="3"/>
      <c r="Y1729" s="3"/>
    </row>
    <row r="1730">
      <c r="A1730" s="5"/>
      <c r="B1730" s="5"/>
      <c r="C1730" s="5"/>
      <c r="D1730" s="5"/>
      <c r="E1730" s="3"/>
      <c r="F1730" s="5"/>
      <c r="G1730" s="5"/>
      <c r="H1730" s="5"/>
      <c r="I1730" s="3"/>
      <c r="J1730" s="3"/>
      <c r="K1730" s="3"/>
      <c r="L1730" s="3"/>
      <c r="M1730" s="3"/>
      <c r="N1730" s="3"/>
      <c r="O1730" s="3"/>
      <c r="P1730" s="3"/>
      <c r="Q1730" s="3"/>
      <c r="R1730" s="3"/>
      <c r="S1730" s="3"/>
      <c r="T1730" s="3"/>
      <c r="U1730" s="3"/>
      <c r="V1730" s="3"/>
      <c r="W1730" s="3"/>
      <c r="X1730" s="3"/>
      <c r="Y1730" s="3"/>
    </row>
    <row r="1731">
      <c r="A1731" s="5"/>
      <c r="B1731" s="5"/>
      <c r="C1731" s="5"/>
      <c r="D1731" s="5"/>
      <c r="E1731" s="3"/>
      <c r="F1731" s="5"/>
      <c r="G1731" s="5"/>
      <c r="H1731" s="5"/>
      <c r="I1731" s="3"/>
      <c r="J1731" s="3"/>
      <c r="K1731" s="3"/>
      <c r="L1731" s="3"/>
      <c r="M1731" s="3"/>
      <c r="N1731" s="3"/>
      <c r="O1731" s="3"/>
      <c r="P1731" s="3"/>
      <c r="Q1731" s="3"/>
      <c r="R1731" s="3"/>
      <c r="S1731" s="3"/>
      <c r="T1731" s="3"/>
      <c r="U1731" s="3"/>
      <c r="V1731" s="3"/>
      <c r="W1731" s="3"/>
      <c r="X1731" s="3"/>
      <c r="Y1731" s="3"/>
    </row>
    <row r="1732">
      <c r="A1732" s="5"/>
      <c r="B1732" s="5"/>
      <c r="C1732" s="5"/>
      <c r="D1732" s="5"/>
      <c r="E1732" s="3"/>
      <c r="F1732" s="5"/>
      <c r="G1732" s="5"/>
      <c r="H1732" s="5"/>
      <c r="I1732" s="3"/>
      <c r="J1732" s="3"/>
      <c r="K1732" s="3"/>
      <c r="L1732" s="3"/>
      <c r="M1732" s="3"/>
      <c r="N1732" s="3"/>
      <c r="O1732" s="3"/>
      <c r="P1732" s="3"/>
      <c r="Q1732" s="3"/>
      <c r="R1732" s="3"/>
      <c r="S1732" s="3"/>
      <c r="T1732" s="3"/>
      <c r="U1732" s="3"/>
      <c r="V1732" s="3"/>
      <c r="W1732" s="3"/>
      <c r="X1732" s="3"/>
      <c r="Y1732" s="3"/>
    </row>
    <row r="1733">
      <c r="A1733" s="5"/>
      <c r="B1733" s="5"/>
      <c r="C1733" s="5"/>
      <c r="D1733" s="5"/>
      <c r="E1733" s="3"/>
      <c r="F1733" s="5"/>
      <c r="G1733" s="5"/>
      <c r="H1733" s="5"/>
      <c r="I1733" s="3"/>
      <c r="J1733" s="3"/>
      <c r="K1733" s="3"/>
      <c r="L1733" s="3"/>
      <c r="M1733" s="3"/>
      <c r="N1733" s="3"/>
      <c r="O1733" s="3"/>
      <c r="P1733" s="3"/>
      <c r="Q1733" s="3"/>
      <c r="R1733" s="3"/>
      <c r="S1733" s="3"/>
      <c r="T1733" s="3"/>
      <c r="U1733" s="3"/>
      <c r="V1733" s="3"/>
      <c r="W1733" s="3"/>
      <c r="X1733" s="3"/>
      <c r="Y1733" s="3"/>
    </row>
    <row r="1734">
      <c r="A1734" s="5"/>
      <c r="B1734" s="5"/>
      <c r="C1734" s="5"/>
      <c r="D1734" s="5"/>
      <c r="E1734" s="3"/>
      <c r="F1734" s="5"/>
      <c r="G1734" s="5"/>
      <c r="H1734" s="5"/>
      <c r="I1734" s="3"/>
      <c r="J1734" s="3"/>
      <c r="K1734" s="3"/>
      <c r="L1734" s="3"/>
      <c r="M1734" s="3"/>
      <c r="N1734" s="3"/>
      <c r="O1734" s="3"/>
      <c r="P1734" s="3"/>
      <c r="Q1734" s="3"/>
      <c r="R1734" s="3"/>
      <c r="S1734" s="3"/>
      <c r="T1734" s="3"/>
      <c r="U1734" s="3"/>
      <c r="V1734" s="3"/>
      <c r="W1734" s="3"/>
      <c r="X1734" s="3"/>
      <c r="Y1734" s="3"/>
    </row>
    <row r="1735">
      <c r="A1735" s="5"/>
      <c r="B1735" s="5"/>
      <c r="C1735" s="5"/>
      <c r="D1735" s="5"/>
      <c r="E1735" s="3"/>
      <c r="F1735" s="5"/>
      <c r="G1735" s="5"/>
      <c r="H1735" s="5"/>
      <c r="I1735" s="3"/>
      <c r="J1735" s="3"/>
      <c r="K1735" s="3"/>
      <c r="L1735" s="3"/>
      <c r="M1735" s="3"/>
      <c r="N1735" s="3"/>
      <c r="O1735" s="3"/>
      <c r="P1735" s="3"/>
      <c r="Q1735" s="3"/>
      <c r="R1735" s="3"/>
      <c r="S1735" s="3"/>
      <c r="T1735" s="3"/>
      <c r="U1735" s="3"/>
      <c r="V1735" s="3"/>
      <c r="W1735" s="3"/>
      <c r="X1735" s="3"/>
      <c r="Y1735" s="3"/>
    </row>
    <row r="1736">
      <c r="A1736" s="5"/>
      <c r="B1736" s="5"/>
      <c r="C1736" s="5"/>
      <c r="D1736" s="5"/>
      <c r="E1736" s="3"/>
      <c r="F1736" s="5"/>
      <c r="G1736" s="5"/>
      <c r="H1736" s="5"/>
      <c r="I1736" s="3"/>
      <c r="J1736" s="3"/>
      <c r="K1736" s="3"/>
      <c r="L1736" s="3"/>
      <c r="M1736" s="3"/>
      <c r="N1736" s="3"/>
      <c r="O1736" s="3"/>
      <c r="P1736" s="3"/>
      <c r="Q1736" s="3"/>
      <c r="R1736" s="3"/>
      <c r="S1736" s="3"/>
      <c r="T1736" s="3"/>
      <c r="U1736" s="3"/>
      <c r="V1736" s="3"/>
      <c r="W1736" s="3"/>
      <c r="X1736" s="3"/>
      <c r="Y1736" s="3"/>
    </row>
    <row r="1737">
      <c r="A1737" s="5"/>
      <c r="B1737" s="5"/>
      <c r="C1737" s="5"/>
      <c r="D1737" s="5"/>
      <c r="E1737" s="3"/>
      <c r="F1737" s="5"/>
      <c r="G1737" s="5"/>
      <c r="H1737" s="5"/>
      <c r="I1737" s="3"/>
      <c r="J1737" s="3"/>
      <c r="K1737" s="3"/>
      <c r="L1737" s="3"/>
      <c r="M1737" s="3"/>
      <c r="N1737" s="3"/>
      <c r="O1737" s="3"/>
      <c r="P1737" s="3"/>
      <c r="Q1737" s="3"/>
      <c r="R1737" s="3"/>
      <c r="S1737" s="3"/>
      <c r="T1737" s="3"/>
      <c r="U1737" s="3"/>
      <c r="V1737" s="3"/>
      <c r="W1737" s="3"/>
      <c r="X1737" s="3"/>
      <c r="Y1737" s="3"/>
    </row>
    <row r="1738">
      <c r="A1738" s="5"/>
      <c r="B1738" s="5"/>
      <c r="C1738" s="5"/>
      <c r="D1738" s="5"/>
      <c r="E1738" s="3"/>
      <c r="F1738" s="5"/>
      <c r="G1738" s="5"/>
      <c r="H1738" s="5"/>
      <c r="I1738" s="3"/>
      <c r="J1738" s="3"/>
      <c r="K1738" s="3"/>
      <c r="L1738" s="3"/>
      <c r="M1738" s="3"/>
      <c r="N1738" s="3"/>
      <c r="O1738" s="3"/>
      <c r="P1738" s="3"/>
      <c r="Q1738" s="3"/>
      <c r="R1738" s="3"/>
      <c r="S1738" s="3"/>
      <c r="T1738" s="3"/>
      <c r="U1738" s="3"/>
      <c r="V1738" s="3"/>
      <c r="W1738" s="3"/>
      <c r="X1738" s="3"/>
      <c r="Y1738" s="3"/>
    </row>
    <row r="1739">
      <c r="A1739" s="5"/>
      <c r="B1739" s="5"/>
      <c r="C1739" s="5"/>
      <c r="D1739" s="5"/>
      <c r="E1739" s="3"/>
      <c r="F1739" s="5"/>
      <c r="G1739" s="5"/>
      <c r="H1739" s="5"/>
      <c r="I1739" s="3"/>
      <c r="J1739" s="3"/>
      <c r="K1739" s="3"/>
      <c r="L1739" s="3"/>
      <c r="M1739" s="3"/>
      <c r="N1739" s="3"/>
      <c r="O1739" s="3"/>
      <c r="P1739" s="3"/>
      <c r="Q1739" s="3"/>
      <c r="R1739" s="3"/>
      <c r="S1739" s="3"/>
      <c r="T1739" s="3"/>
      <c r="U1739" s="3"/>
      <c r="V1739" s="3"/>
      <c r="W1739" s="3"/>
      <c r="X1739" s="3"/>
      <c r="Y1739" s="3"/>
    </row>
    <row r="1740">
      <c r="A1740" s="5"/>
      <c r="B1740" s="5"/>
      <c r="C1740" s="5"/>
      <c r="D1740" s="5"/>
      <c r="E1740" s="3"/>
      <c r="F1740" s="5"/>
      <c r="G1740" s="5"/>
      <c r="H1740" s="5"/>
      <c r="I1740" s="3"/>
      <c r="J1740" s="3"/>
      <c r="K1740" s="3"/>
      <c r="L1740" s="3"/>
      <c r="M1740" s="3"/>
      <c r="N1740" s="3"/>
      <c r="O1740" s="3"/>
      <c r="P1740" s="3"/>
      <c r="Q1740" s="3"/>
      <c r="R1740" s="3"/>
      <c r="S1740" s="3"/>
      <c r="T1740" s="3"/>
      <c r="U1740" s="3"/>
      <c r="V1740" s="3"/>
      <c r="W1740" s="3"/>
      <c r="X1740" s="3"/>
      <c r="Y1740" s="3"/>
    </row>
    <row r="1741">
      <c r="A1741" s="5"/>
      <c r="B1741" s="5"/>
      <c r="C1741" s="5"/>
      <c r="D1741" s="5"/>
      <c r="E1741" s="3"/>
      <c r="F1741" s="5"/>
      <c r="G1741" s="5"/>
      <c r="H1741" s="5"/>
      <c r="I1741" s="3"/>
      <c r="J1741" s="3"/>
      <c r="K1741" s="3"/>
      <c r="L1741" s="3"/>
      <c r="M1741" s="3"/>
      <c r="N1741" s="3"/>
      <c r="O1741" s="3"/>
      <c r="P1741" s="3"/>
      <c r="Q1741" s="3"/>
      <c r="R1741" s="3"/>
      <c r="S1741" s="3"/>
      <c r="T1741" s="3"/>
      <c r="U1741" s="3"/>
      <c r="V1741" s="3"/>
      <c r="W1741" s="3"/>
      <c r="X1741" s="3"/>
      <c r="Y1741" s="3"/>
    </row>
    <row r="1742">
      <c r="A1742" s="5"/>
      <c r="B1742" s="5"/>
      <c r="C1742" s="5"/>
      <c r="D1742" s="5"/>
      <c r="E1742" s="3"/>
      <c r="F1742" s="5"/>
      <c r="G1742" s="5"/>
      <c r="H1742" s="5"/>
      <c r="I1742" s="3"/>
      <c r="J1742" s="3"/>
      <c r="K1742" s="3"/>
      <c r="L1742" s="3"/>
      <c r="M1742" s="3"/>
      <c r="N1742" s="3"/>
      <c r="O1742" s="3"/>
      <c r="P1742" s="3"/>
      <c r="Q1742" s="3"/>
      <c r="R1742" s="3"/>
      <c r="S1742" s="3"/>
      <c r="T1742" s="3"/>
      <c r="U1742" s="3"/>
      <c r="V1742" s="3"/>
      <c r="W1742" s="3"/>
      <c r="X1742" s="3"/>
      <c r="Y1742" s="3"/>
    </row>
    <row r="1743">
      <c r="A1743" s="5"/>
      <c r="B1743" s="5"/>
      <c r="C1743" s="5"/>
      <c r="D1743" s="5"/>
      <c r="E1743" s="3"/>
      <c r="F1743" s="5"/>
      <c r="G1743" s="5"/>
      <c r="H1743" s="5"/>
      <c r="I1743" s="3"/>
      <c r="J1743" s="3"/>
      <c r="K1743" s="3"/>
      <c r="L1743" s="3"/>
      <c r="M1743" s="3"/>
      <c r="N1743" s="3"/>
      <c r="O1743" s="3"/>
      <c r="P1743" s="3"/>
      <c r="Q1743" s="3"/>
      <c r="R1743" s="3"/>
      <c r="S1743" s="3"/>
      <c r="T1743" s="3"/>
      <c r="U1743" s="3"/>
      <c r="V1743" s="3"/>
      <c r="W1743" s="3"/>
      <c r="X1743" s="3"/>
      <c r="Y1743" s="3"/>
    </row>
    <row r="1744">
      <c r="A1744" s="5"/>
      <c r="B1744" s="5"/>
      <c r="C1744" s="5"/>
      <c r="D1744" s="5"/>
      <c r="E1744" s="3"/>
      <c r="F1744" s="5"/>
      <c r="G1744" s="5"/>
      <c r="H1744" s="5"/>
      <c r="I1744" s="3"/>
      <c r="J1744" s="3"/>
      <c r="K1744" s="3"/>
      <c r="L1744" s="3"/>
      <c r="M1744" s="3"/>
      <c r="N1744" s="3"/>
      <c r="O1744" s="3"/>
      <c r="P1744" s="3"/>
      <c r="Q1744" s="3"/>
      <c r="R1744" s="3"/>
      <c r="S1744" s="3"/>
      <c r="T1744" s="3"/>
      <c r="U1744" s="3"/>
      <c r="V1744" s="3"/>
      <c r="W1744" s="3"/>
      <c r="X1744" s="3"/>
      <c r="Y1744" s="3"/>
    </row>
    <row r="1745">
      <c r="A1745" s="5"/>
      <c r="B1745" s="5"/>
      <c r="C1745" s="5"/>
      <c r="D1745" s="5"/>
      <c r="E1745" s="3"/>
      <c r="F1745" s="5"/>
      <c r="G1745" s="5"/>
      <c r="H1745" s="5"/>
      <c r="I1745" s="3"/>
      <c r="J1745" s="3"/>
      <c r="K1745" s="3"/>
      <c r="L1745" s="3"/>
      <c r="M1745" s="3"/>
      <c r="N1745" s="3"/>
      <c r="O1745" s="3"/>
      <c r="P1745" s="3"/>
      <c r="Q1745" s="3"/>
      <c r="R1745" s="3"/>
      <c r="S1745" s="3"/>
      <c r="T1745" s="3"/>
      <c r="U1745" s="3"/>
      <c r="V1745" s="3"/>
      <c r="W1745" s="3"/>
      <c r="X1745" s="3"/>
      <c r="Y1745" s="3"/>
    </row>
    <row r="1746">
      <c r="A1746" s="5"/>
      <c r="B1746" s="5"/>
      <c r="C1746" s="5"/>
      <c r="D1746" s="5"/>
      <c r="E1746" s="3"/>
      <c r="F1746" s="5"/>
      <c r="G1746" s="5"/>
      <c r="H1746" s="5"/>
      <c r="I1746" s="3"/>
      <c r="J1746" s="3"/>
      <c r="K1746" s="3"/>
      <c r="L1746" s="3"/>
      <c r="M1746" s="3"/>
      <c r="N1746" s="3"/>
      <c r="O1746" s="3"/>
      <c r="P1746" s="3"/>
      <c r="Q1746" s="3"/>
      <c r="R1746" s="3"/>
      <c r="S1746" s="3"/>
      <c r="T1746" s="3"/>
      <c r="U1746" s="3"/>
      <c r="V1746" s="3"/>
      <c r="W1746" s="3"/>
      <c r="X1746" s="3"/>
      <c r="Y1746" s="3"/>
    </row>
    <row r="1747">
      <c r="A1747" s="5"/>
      <c r="B1747" s="5"/>
      <c r="C1747" s="5"/>
      <c r="D1747" s="5"/>
      <c r="E1747" s="3"/>
      <c r="F1747" s="5"/>
      <c r="G1747" s="5"/>
      <c r="H1747" s="5"/>
      <c r="I1747" s="3"/>
      <c r="J1747" s="3"/>
      <c r="K1747" s="3"/>
      <c r="L1747" s="3"/>
      <c r="M1747" s="3"/>
      <c r="N1747" s="3"/>
      <c r="O1747" s="3"/>
      <c r="P1747" s="3"/>
      <c r="Q1747" s="3"/>
      <c r="R1747" s="3"/>
      <c r="S1747" s="3"/>
      <c r="T1747" s="3"/>
      <c r="U1747" s="3"/>
      <c r="V1747" s="3"/>
      <c r="W1747" s="3"/>
      <c r="X1747" s="3"/>
      <c r="Y1747" s="3"/>
    </row>
    <row r="1748">
      <c r="A1748" s="5"/>
      <c r="B1748" s="5"/>
      <c r="C1748" s="5"/>
      <c r="D1748" s="5"/>
      <c r="E1748" s="3"/>
      <c r="F1748" s="5"/>
      <c r="G1748" s="5"/>
      <c r="H1748" s="5"/>
      <c r="I1748" s="3"/>
      <c r="J1748" s="3"/>
      <c r="K1748" s="3"/>
      <c r="L1748" s="3"/>
      <c r="M1748" s="3"/>
      <c r="N1748" s="3"/>
      <c r="O1748" s="3"/>
      <c r="P1748" s="3"/>
      <c r="Q1748" s="3"/>
      <c r="R1748" s="3"/>
      <c r="S1748" s="3"/>
      <c r="T1748" s="3"/>
      <c r="U1748" s="3"/>
      <c r="V1748" s="3"/>
      <c r="W1748" s="3"/>
      <c r="X1748" s="3"/>
      <c r="Y1748" s="3"/>
    </row>
    <row r="1749">
      <c r="A1749" s="5"/>
      <c r="B1749" s="5"/>
      <c r="C1749" s="5"/>
      <c r="D1749" s="5"/>
      <c r="E1749" s="3"/>
      <c r="F1749" s="5"/>
      <c r="G1749" s="5"/>
      <c r="H1749" s="5"/>
      <c r="I1749" s="3"/>
      <c r="J1749" s="3"/>
      <c r="K1749" s="3"/>
      <c r="L1749" s="3"/>
      <c r="M1749" s="3"/>
      <c r="N1749" s="3"/>
      <c r="O1749" s="3"/>
      <c r="P1749" s="3"/>
      <c r="Q1749" s="3"/>
      <c r="R1749" s="3"/>
      <c r="S1749" s="3"/>
      <c r="T1749" s="3"/>
      <c r="U1749" s="3"/>
      <c r="V1749" s="3"/>
      <c r="W1749" s="3"/>
      <c r="X1749" s="3"/>
      <c r="Y1749" s="3"/>
    </row>
    <row r="1750">
      <c r="A1750" s="5"/>
      <c r="B1750" s="5"/>
      <c r="C1750" s="5"/>
      <c r="D1750" s="5"/>
      <c r="E1750" s="3"/>
      <c r="F1750" s="5"/>
      <c r="G1750" s="5"/>
      <c r="H1750" s="5"/>
      <c r="I1750" s="3"/>
      <c r="J1750" s="3"/>
      <c r="K1750" s="3"/>
      <c r="L1750" s="3"/>
      <c r="M1750" s="3"/>
      <c r="N1750" s="3"/>
      <c r="O1750" s="3"/>
      <c r="P1750" s="3"/>
      <c r="Q1750" s="3"/>
      <c r="R1750" s="3"/>
      <c r="S1750" s="3"/>
      <c r="T1750" s="3"/>
      <c r="U1750" s="3"/>
      <c r="V1750" s="3"/>
      <c r="W1750" s="3"/>
      <c r="X1750" s="3"/>
      <c r="Y1750" s="3"/>
    </row>
    <row r="1751">
      <c r="A1751" s="5"/>
      <c r="B1751" s="5"/>
      <c r="C1751" s="5"/>
      <c r="D1751" s="5"/>
      <c r="E1751" s="3"/>
      <c r="F1751" s="5"/>
      <c r="G1751" s="5"/>
      <c r="H1751" s="5"/>
      <c r="I1751" s="3"/>
      <c r="J1751" s="3"/>
      <c r="K1751" s="3"/>
      <c r="L1751" s="3"/>
      <c r="M1751" s="3"/>
      <c r="N1751" s="3"/>
      <c r="O1751" s="3"/>
      <c r="P1751" s="3"/>
      <c r="Q1751" s="3"/>
      <c r="R1751" s="3"/>
      <c r="S1751" s="3"/>
      <c r="T1751" s="3"/>
      <c r="U1751" s="3"/>
      <c r="V1751" s="3"/>
      <c r="W1751" s="3"/>
      <c r="X1751" s="3"/>
      <c r="Y1751" s="3"/>
    </row>
    <row r="1752">
      <c r="A1752" s="5"/>
      <c r="B1752" s="5"/>
      <c r="C1752" s="5"/>
      <c r="D1752" s="5"/>
      <c r="E1752" s="3"/>
      <c r="F1752" s="5"/>
      <c r="G1752" s="5"/>
      <c r="H1752" s="5"/>
      <c r="I1752" s="3"/>
      <c r="J1752" s="3"/>
      <c r="K1752" s="3"/>
      <c r="L1752" s="3"/>
      <c r="M1752" s="3"/>
      <c r="N1752" s="3"/>
      <c r="O1752" s="3"/>
      <c r="P1752" s="3"/>
      <c r="Q1752" s="3"/>
      <c r="R1752" s="3"/>
      <c r="S1752" s="3"/>
      <c r="T1752" s="3"/>
      <c r="U1752" s="3"/>
      <c r="V1752" s="3"/>
      <c r="W1752" s="3"/>
      <c r="X1752" s="3"/>
      <c r="Y1752" s="3"/>
    </row>
    <row r="1753">
      <c r="A1753" s="5"/>
      <c r="B1753" s="5"/>
      <c r="C1753" s="5"/>
      <c r="D1753" s="5"/>
      <c r="E1753" s="3"/>
      <c r="F1753" s="5"/>
      <c r="G1753" s="5"/>
      <c r="H1753" s="5"/>
      <c r="I1753" s="3"/>
      <c r="J1753" s="3"/>
      <c r="K1753" s="3"/>
      <c r="L1753" s="3"/>
      <c r="M1753" s="3"/>
      <c r="N1753" s="3"/>
      <c r="O1753" s="3"/>
      <c r="P1753" s="3"/>
      <c r="Q1753" s="3"/>
      <c r="R1753" s="3"/>
      <c r="S1753" s="3"/>
      <c r="T1753" s="3"/>
      <c r="U1753" s="3"/>
      <c r="V1753" s="3"/>
      <c r="W1753" s="3"/>
      <c r="X1753" s="3"/>
      <c r="Y1753" s="3"/>
    </row>
    <row r="1754">
      <c r="A1754" s="5"/>
      <c r="B1754" s="5"/>
      <c r="C1754" s="5"/>
      <c r="D1754" s="5"/>
      <c r="E1754" s="3"/>
      <c r="F1754" s="5"/>
      <c r="G1754" s="5"/>
      <c r="H1754" s="5"/>
      <c r="I1754" s="3"/>
      <c r="J1754" s="3"/>
      <c r="K1754" s="3"/>
      <c r="L1754" s="3"/>
      <c r="M1754" s="3"/>
      <c r="N1754" s="3"/>
      <c r="O1754" s="3"/>
      <c r="P1754" s="3"/>
      <c r="Q1754" s="3"/>
      <c r="R1754" s="3"/>
      <c r="S1754" s="3"/>
      <c r="T1754" s="3"/>
      <c r="U1754" s="3"/>
      <c r="V1754" s="3"/>
      <c r="W1754" s="3"/>
      <c r="X1754" s="3"/>
      <c r="Y1754" s="3"/>
    </row>
    <row r="1755">
      <c r="A1755" s="5"/>
      <c r="B1755" s="5"/>
      <c r="C1755" s="5"/>
      <c r="D1755" s="5"/>
      <c r="E1755" s="3"/>
      <c r="F1755" s="5"/>
      <c r="G1755" s="5"/>
      <c r="H1755" s="5"/>
      <c r="I1755" s="3"/>
      <c r="J1755" s="3"/>
      <c r="K1755" s="3"/>
      <c r="L1755" s="3"/>
      <c r="M1755" s="3"/>
      <c r="N1755" s="3"/>
      <c r="O1755" s="3"/>
      <c r="P1755" s="3"/>
      <c r="Q1755" s="3"/>
      <c r="R1755" s="3"/>
      <c r="S1755" s="3"/>
      <c r="T1755" s="3"/>
      <c r="U1755" s="3"/>
      <c r="V1755" s="3"/>
      <c r="W1755" s="3"/>
      <c r="X1755" s="3"/>
      <c r="Y1755" s="3"/>
    </row>
    <row r="1756">
      <c r="A1756" s="5"/>
      <c r="B1756" s="5"/>
      <c r="C1756" s="5"/>
      <c r="D1756" s="5"/>
      <c r="E1756" s="3"/>
      <c r="F1756" s="5"/>
      <c r="G1756" s="5"/>
      <c r="H1756" s="5"/>
      <c r="I1756" s="3"/>
      <c r="J1756" s="3"/>
      <c r="K1756" s="3"/>
      <c r="L1756" s="3"/>
      <c r="M1756" s="3"/>
      <c r="N1756" s="3"/>
      <c r="O1756" s="3"/>
      <c r="P1756" s="3"/>
      <c r="Q1756" s="3"/>
      <c r="R1756" s="3"/>
      <c r="S1756" s="3"/>
      <c r="T1756" s="3"/>
      <c r="U1756" s="3"/>
      <c r="V1756" s="3"/>
      <c r="W1756" s="3"/>
      <c r="X1756" s="3"/>
      <c r="Y1756" s="3"/>
    </row>
    <row r="1757">
      <c r="A1757" s="5"/>
      <c r="B1757" s="5"/>
      <c r="C1757" s="5"/>
      <c r="D1757" s="5"/>
      <c r="E1757" s="3"/>
      <c r="F1757" s="5"/>
      <c r="G1757" s="5"/>
      <c r="H1757" s="5"/>
      <c r="I1757" s="3"/>
      <c r="J1757" s="3"/>
      <c r="K1757" s="3"/>
      <c r="L1757" s="3"/>
      <c r="M1757" s="3"/>
      <c r="N1757" s="3"/>
      <c r="O1757" s="3"/>
      <c r="P1757" s="3"/>
      <c r="Q1757" s="3"/>
      <c r="R1757" s="3"/>
      <c r="S1757" s="3"/>
      <c r="T1757" s="3"/>
      <c r="U1757" s="3"/>
      <c r="V1757" s="3"/>
      <c r="W1757" s="3"/>
      <c r="X1757" s="3"/>
      <c r="Y1757" s="3"/>
    </row>
    <row r="1758">
      <c r="A1758" s="5"/>
      <c r="B1758" s="5"/>
      <c r="C1758" s="5"/>
      <c r="D1758" s="5"/>
      <c r="E1758" s="3"/>
      <c r="F1758" s="5"/>
      <c r="G1758" s="5"/>
      <c r="H1758" s="5"/>
      <c r="I1758" s="3"/>
      <c r="J1758" s="3"/>
      <c r="K1758" s="3"/>
      <c r="L1758" s="3"/>
      <c r="M1758" s="3"/>
      <c r="N1758" s="3"/>
      <c r="O1758" s="3"/>
      <c r="P1758" s="3"/>
      <c r="Q1758" s="3"/>
      <c r="R1758" s="3"/>
      <c r="S1758" s="3"/>
      <c r="T1758" s="3"/>
      <c r="U1758" s="3"/>
      <c r="V1758" s="3"/>
      <c r="W1758" s="3"/>
      <c r="X1758" s="3"/>
      <c r="Y1758" s="3"/>
    </row>
    <row r="1759">
      <c r="A1759" s="5"/>
      <c r="B1759" s="5"/>
      <c r="C1759" s="5"/>
      <c r="D1759" s="5"/>
      <c r="E1759" s="3"/>
      <c r="F1759" s="5"/>
      <c r="G1759" s="5"/>
      <c r="H1759" s="5"/>
      <c r="I1759" s="3"/>
      <c r="J1759" s="3"/>
      <c r="K1759" s="3"/>
      <c r="L1759" s="3"/>
      <c r="M1759" s="3"/>
      <c r="N1759" s="3"/>
      <c r="O1759" s="3"/>
      <c r="P1759" s="3"/>
      <c r="Q1759" s="3"/>
      <c r="R1759" s="3"/>
      <c r="S1759" s="3"/>
      <c r="T1759" s="3"/>
      <c r="U1759" s="3"/>
      <c r="V1759" s="3"/>
      <c r="W1759" s="3"/>
      <c r="X1759" s="3"/>
      <c r="Y1759" s="3"/>
    </row>
    <row r="1760">
      <c r="A1760" s="5"/>
      <c r="B1760" s="5"/>
      <c r="C1760" s="5"/>
      <c r="D1760" s="5"/>
      <c r="E1760" s="3"/>
      <c r="F1760" s="5"/>
      <c r="G1760" s="5"/>
      <c r="H1760" s="5"/>
      <c r="I1760" s="3"/>
      <c r="J1760" s="3"/>
      <c r="K1760" s="3"/>
      <c r="L1760" s="3"/>
      <c r="M1760" s="3"/>
      <c r="N1760" s="3"/>
      <c r="O1760" s="3"/>
      <c r="P1760" s="3"/>
      <c r="Q1760" s="3"/>
      <c r="R1760" s="3"/>
      <c r="S1760" s="3"/>
      <c r="T1760" s="3"/>
      <c r="U1760" s="3"/>
      <c r="V1760" s="3"/>
      <c r="W1760" s="3"/>
      <c r="X1760" s="3"/>
      <c r="Y1760" s="3"/>
    </row>
    <row r="1761">
      <c r="A1761" s="5"/>
      <c r="B1761" s="5"/>
      <c r="C1761" s="5"/>
      <c r="D1761" s="5"/>
      <c r="E1761" s="3"/>
      <c r="F1761" s="5"/>
      <c r="G1761" s="5"/>
      <c r="H1761" s="5"/>
      <c r="I1761" s="3"/>
      <c r="J1761" s="3"/>
      <c r="K1761" s="3"/>
      <c r="L1761" s="3"/>
      <c r="M1761" s="3"/>
      <c r="N1761" s="3"/>
      <c r="O1761" s="3"/>
      <c r="P1761" s="3"/>
      <c r="Q1761" s="3"/>
      <c r="R1761" s="3"/>
      <c r="S1761" s="3"/>
      <c r="T1761" s="3"/>
      <c r="U1761" s="3"/>
      <c r="V1761" s="3"/>
      <c r="W1761" s="3"/>
      <c r="X1761" s="3"/>
      <c r="Y1761" s="3"/>
    </row>
    <row r="1762">
      <c r="A1762" s="5"/>
      <c r="B1762" s="5"/>
      <c r="C1762" s="5"/>
      <c r="D1762" s="5"/>
      <c r="E1762" s="3"/>
      <c r="F1762" s="5"/>
      <c r="G1762" s="5"/>
      <c r="H1762" s="5"/>
      <c r="I1762" s="3"/>
      <c r="J1762" s="3"/>
      <c r="K1762" s="3"/>
      <c r="L1762" s="3"/>
      <c r="M1762" s="3"/>
      <c r="N1762" s="3"/>
      <c r="O1762" s="3"/>
      <c r="P1762" s="3"/>
      <c r="Q1762" s="3"/>
      <c r="R1762" s="3"/>
      <c r="S1762" s="3"/>
      <c r="T1762" s="3"/>
      <c r="U1762" s="3"/>
      <c r="V1762" s="3"/>
      <c r="W1762" s="3"/>
      <c r="X1762" s="3"/>
      <c r="Y1762" s="3"/>
    </row>
    <row r="1763">
      <c r="A1763" s="5"/>
      <c r="B1763" s="5"/>
      <c r="C1763" s="5"/>
      <c r="D1763" s="5"/>
      <c r="E1763" s="3"/>
      <c r="F1763" s="5"/>
      <c r="G1763" s="5"/>
      <c r="H1763" s="5"/>
      <c r="I1763" s="3"/>
      <c r="J1763" s="3"/>
      <c r="K1763" s="3"/>
      <c r="L1763" s="3"/>
      <c r="M1763" s="3"/>
      <c r="N1763" s="3"/>
      <c r="O1763" s="3"/>
      <c r="P1763" s="3"/>
      <c r="Q1763" s="3"/>
      <c r="R1763" s="3"/>
      <c r="S1763" s="3"/>
      <c r="T1763" s="3"/>
      <c r="U1763" s="3"/>
      <c r="V1763" s="3"/>
      <c r="W1763" s="3"/>
      <c r="X1763" s="3"/>
      <c r="Y1763" s="3"/>
    </row>
    <row r="1764">
      <c r="A1764" s="5"/>
      <c r="B1764" s="5"/>
      <c r="C1764" s="5"/>
      <c r="D1764" s="5"/>
      <c r="E1764" s="3"/>
      <c r="F1764" s="5"/>
      <c r="G1764" s="5"/>
      <c r="H1764" s="5"/>
      <c r="I1764" s="3"/>
      <c r="J1764" s="3"/>
      <c r="K1764" s="3"/>
      <c r="L1764" s="3"/>
      <c r="M1764" s="3"/>
      <c r="N1764" s="3"/>
      <c r="O1764" s="3"/>
      <c r="P1764" s="3"/>
      <c r="Q1764" s="3"/>
      <c r="R1764" s="3"/>
      <c r="S1764" s="3"/>
      <c r="T1764" s="3"/>
      <c r="U1764" s="3"/>
      <c r="V1764" s="3"/>
      <c r="W1764" s="3"/>
      <c r="X1764" s="3"/>
      <c r="Y1764" s="3"/>
    </row>
    <row r="1765">
      <c r="A1765" s="5"/>
      <c r="B1765" s="5"/>
      <c r="C1765" s="5"/>
      <c r="D1765" s="5"/>
      <c r="E1765" s="3"/>
      <c r="F1765" s="5"/>
      <c r="G1765" s="5"/>
      <c r="H1765" s="5"/>
      <c r="I1765" s="3"/>
      <c r="J1765" s="3"/>
      <c r="K1765" s="3"/>
      <c r="L1765" s="3"/>
      <c r="M1765" s="3"/>
      <c r="N1765" s="3"/>
      <c r="O1765" s="3"/>
      <c r="P1765" s="3"/>
      <c r="Q1765" s="3"/>
      <c r="R1765" s="3"/>
      <c r="S1765" s="3"/>
      <c r="T1765" s="3"/>
      <c r="U1765" s="3"/>
      <c r="V1765" s="3"/>
      <c r="W1765" s="3"/>
      <c r="X1765" s="3"/>
      <c r="Y1765" s="3"/>
    </row>
    <row r="1766">
      <c r="A1766" s="5"/>
      <c r="B1766" s="5"/>
      <c r="C1766" s="5"/>
      <c r="D1766" s="5"/>
      <c r="E1766" s="3"/>
      <c r="F1766" s="5"/>
      <c r="G1766" s="5"/>
      <c r="H1766" s="5"/>
      <c r="I1766" s="3"/>
      <c r="J1766" s="3"/>
      <c r="K1766" s="3"/>
      <c r="L1766" s="3"/>
      <c r="M1766" s="3"/>
      <c r="N1766" s="3"/>
      <c r="O1766" s="3"/>
      <c r="P1766" s="3"/>
      <c r="Q1766" s="3"/>
      <c r="R1766" s="3"/>
      <c r="S1766" s="3"/>
      <c r="T1766" s="3"/>
      <c r="U1766" s="3"/>
      <c r="V1766" s="3"/>
      <c r="W1766" s="3"/>
      <c r="X1766" s="3"/>
      <c r="Y1766" s="3"/>
    </row>
    <row r="1767">
      <c r="A1767" s="5"/>
      <c r="B1767" s="5"/>
      <c r="C1767" s="5"/>
      <c r="D1767" s="5"/>
      <c r="E1767" s="3"/>
      <c r="F1767" s="5"/>
      <c r="G1767" s="5"/>
      <c r="H1767" s="5"/>
      <c r="I1767" s="3"/>
      <c r="J1767" s="3"/>
      <c r="K1767" s="3"/>
      <c r="L1767" s="3"/>
      <c r="M1767" s="3"/>
      <c r="N1767" s="3"/>
      <c r="O1767" s="3"/>
      <c r="P1767" s="3"/>
      <c r="Q1767" s="3"/>
      <c r="R1767" s="3"/>
      <c r="S1767" s="3"/>
      <c r="T1767" s="3"/>
      <c r="U1767" s="3"/>
      <c r="V1767" s="3"/>
      <c r="W1767" s="3"/>
      <c r="X1767" s="3"/>
      <c r="Y1767" s="3"/>
    </row>
    <row r="1768">
      <c r="A1768" s="5"/>
      <c r="B1768" s="5"/>
      <c r="C1768" s="5"/>
      <c r="D1768" s="5"/>
      <c r="E1768" s="3"/>
      <c r="F1768" s="5"/>
      <c r="G1768" s="5"/>
      <c r="H1768" s="5"/>
      <c r="I1768" s="3"/>
      <c r="J1768" s="3"/>
      <c r="K1768" s="3"/>
      <c r="L1768" s="3"/>
      <c r="M1768" s="3"/>
      <c r="N1768" s="3"/>
      <c r="O1768" s="3"/>
      <c r="P1768" s="3"/>
      <c r="Q1768" s="3"/>
      <c r="R1768" s="3"/>
      <c r="S1768" s="3"/>
      <c r="T1768" s="3"/>
      <c r="U1768" s="3"/>
      <c r="V1768" s="3"/>
      <c r="W1768" s="3"/>
      <c r="X1768" s="3"/>
      <c r="Y1768" s="3"/>
    </row>
    <row r="1769">
      <c r="A1769" s="5"/>
      <c r="B1769" s="5"/>
      <c r="C1769" s="5"/>
      <c r="D1769" s="5"/>
      <c r="E1769" s="3"/>
      <c r="F1769" s="5"/>
      <c r="G1769" s="5"/>
      <c r="H1769" s="5"/>
      <c r="I1769" s="3"/>
      <c r="J1769" s="3"/>
      <c r="K1769" s="3"/>
      <c r="L1769" s="3"/>
      <c r="M1769" s="3"/>
      <c r="N1769" s="3"/>
      <c r="O1769" s="3"/>
      <c r="P1769" s="3"/>
      <c r="Q1769" s="3"/>
      <c r="R1769" s="3"/>
      <c r="S1769" s="3"/>
      <c r="T1769" s="3"/>
      <c r="U1769" s="3"/>
      <c r="V1769" s="3"/>
      <c r="W1769" s="3"/>
      <c r="X1769" s="3"/>
      <c r="Y1769" s="3"/>
    </row>
    <row r="1770">
      <c r="A1770" s="5"/>
      <c r="B1770" s="5"/>
      <c r="C1770" s="5"/>
      <c r="D1770" s="5"/>
      <c r="E1770" s="3"/>
      <c r="F1770" s="5"/>
      <c r="G1770" s="5"/>
      <c r="H1770" s="5"/>
      <c r="I1770" s="3"/>
      <c r="J1770" s="3"/>
      <c r="K1770" s="3"/>
      <c r="L1770" s="3"/>
      <c r="M1770" s="3"/>
      <c r="N1770" s="3"/>
      <c r="O1770" s="3"/>
      <c r="P1770" s="3"/>
      <c r="Q1770" s="3"/>
      <c r="R1770" s="3"/>
      <c r="S1770" s="3"/>
      <c r="T1770" s="3"/>
      <c r="U1770" s="3"/>
      <c r="V1770" s="3"/>
      <c r="W1770" s="3"/>
      <c r="X1770" s="3"/>
      <c r="Y1770" s="3"/>
    </row>
    <row r="1771">
      <c r="A1771" s="5"/>
      <c r="B1771" s="5"/>
      <c r="C1771" s="5"/>
      <c r="D1771" s="5"/>
      <c r="E1771" s="3"/>
      <c r="F1771" s="5"/>
      <c r="G1771" s="5"/>
      <c r="H1771" s="5"/>
      <c r="I1771" s="3"/>
      <c r="J1771" s="3"/>
      <c r="K1771" s="3"/>
      <c r="L1771" s="3"/>
      <c r="M1771" s="3"/>
      <c r="N1771" s="3"/>
      <c r="O1771" s="3"/>
      <c r="P1771" s="3"/>
      <c r="Q1771" s="3"/>
      <c r="R1771" s="3"/>
      <c r="S1771" s="3"/>
      <c r="T1771" s="3"/>
      <c r="U1771" s="3"/>
      <c r="V1771" s="3"/>
      <c r="W1771" s="3"/>
      <c r="X1771" s="3"/>
      <c r="Y1771" s="3"/>
    </row>
    <row r="1772">
      <c r="A1772" s="5"/>
      <c r="B1772" s="5"/>
      <c r="C1772" s="5"/>
      <c r="D1772" s="5"/>
      <c r="E1772" s="3"/>
      <c r="F1772" s="5"/>
      <c r="G1772" s="5"/>
      <c r="H1772" s="5"/>
      <c r="I1772" s="3"/>
      <c r="J1772" s="3"/>
      <c r="K1772" s="3"/>
      <c r="L1772" s="3"/>
      <c r="M1772" s="3"/>
      <c r="N1772" s="3"/>
      <c r="O1772" s="3"/>
      <c r="P1772" s="3"/>
      <c r="Q1772" s="3"/>
      <c r="R1772" s="3"/>
      <c r="S1772" s="3"/>
      <c r="T1772" s="3"/>
      <c r="U1772" s="3"/>
      <c r="V1772" s="3"/>
      <c r="W1772" s="3"/>
      <c r="X1772" s="3"/>
      <c r="Y1772" s="3"/>
    </row>
    <row r="1773">
      <c r="A1773" s="5"/>
      <c r="B1773" s="5"/>
      <c r="C1773" s="5"/>
      <c r="D1773" s="5"/>
      <c r="E1773" s="3"/>
      <c r="F1773" s="5"/>
      <c r="G1773" s="5"/>
      <c r="H1773" s="5"/>
      <c r="I1773" s="3"/>
      <c r="J1773" s="3"/>
      <c r="K1773" s="3"/>
      <c r="L1773" s="3"/>
      <c r="M1773" s="3"/>
      <c r="N1773" s="3"/>
      <c r="O1773" s="3"/>
      <c r="P1773" s="3"/>
      <c r="Q1773" s="3"/>
      <c r="R1773" s="3"/>
      <c r="S1773" s="3"/>
      <c r="T1773" s="3"/>
      <c r="U1773" s="3"/>
      <c r="V1773" s="3"/>
      <c r="W1773" s="3"/>
      <c r="X1773" s="3"/>
      <c r="Y1773" s="3"/>
    </row>
    <row r="1774">
      <c r="A1774" s="5"/>
      <c r="B1774" s="5"/>
      <c r="C1774" s="5"/>
      <c r="D1774" s="5"/>
      <c r="E1774" s="3"/>
      <c r="F1774" s="5"/>
      <c r="G1774" s="5"/>
      <c r="H1774" s="5"/>
      <c r="I1774" s="3"/>
      <c r="J1774" s="3"/>
      <c r="K1774" s="3"/>
      <c r="L1774" s="3"/>
      <c r="M1774" s="3"/>
      <c r="N1774" s="3"/>
      <c r="O1774" s="3"/>
      <c r="P1774" s="3"/>
      <c r="Q1774" s="3"/>
      <c r="R1774" s="3"/>
      <c r="S1774" s="3"/>
      <c r="T1774" s="3"/>
      <c r="U1774" s="3"/>
      <c r="V1774" s="3"/>
      <c r="W1774" s="3"/>
      <c r="X1774" s="3"/>
      <c r="Y1774" s="3"/>
    </row>
    <row r="1775">
      <c r="A1775" s="5"/>
      <c r="B1775" s="5"/>
      <c r="C1775" s="5"/>
      <c r="D1775" s="5"/>
      <c r="E1775" s="3"/>
      <c r="F1775" s="5"/>
      <c r="G1775" s="5"/>
      <c r="H1775" s="5"/>
      <c r="I1775" s="3"/>
      <c r="J1775" s="3"/>
      <c r="K1775" s="3"/>
      <c r="L1775" s="3"/>
      <c r="M1775" s="3"/>
      <c r="N1775" s="3"/>
      <c r="O1775" s="3"/>
      <c r="P1775" s="3"/>
      <c r="Q1775" s="3"/>
      <c r="R1775" s="3"/>
      <c r="S1775" s="3"/>
      <c r="T1775" s="3"/>
      <c r="U1775" s="3"/>
      <c r="V1775" s="3"/>
      <c r="W1775" s="3"/>
      <c r="X1775" s="3"/>
      <c r="Y1775" s="3"/>
    </row>
    <row r="1776">
      <c r="A1776" s="5"/>
      <c r="B1776" s="5"/>
      <c r="C1776" s="5"/>
      <c r="D1776" s="5"/>
      <c r="E1776" s="3"/>
      <c r="F1776" s="5"/>
      <c r="G1776" s="5"/>
      <c r="H1776" s="5"/>
      <c r="I1776" s="3"/>
      <c r="J1776" s="3"/>
      <c r="K1776" s="3"/>
      <c r="L1776" s="3"/>
      <c r="M1776" s="3"/>
      <c r="N1776" s="3"/>
      <c r="O1776" s="3"/>
      <c r="P1776" s="3"/>
      <c r="Q1776" s="3"/>
      <c r="R1776" s="3"/>
      <c r="S1776" s="3"/>
      <c r="T1776" s="3"/>
      <c r="U1776" s="3"/>
      <c r="V1776" s="3"/>
      <c r="W1776" s="3"/>
      <c r="X1776" s="3"/>
      <c r="Y1776" s="3"/>
    </row>
    <row r="1777">
      <c r="A1777" s="5"/>
      <c r="B1777" s="5"/>
      <c r="C1777" s="5"/>
      <c r="D1777" s="5"/>
      <c r="E1777" s="3"/>
      <c r="F1777" s="5"/>
      <c r="G1777" s="5"/>
      <c r="H1777" s="5"/>
      <c r="I1777" s="3"/>
      <c r="J1777" s="3"/>
      <c r="K1777" s="3"/>
      <c r="L1777" s="3"/>
      <c r="M1777" s="3"/>
      <c r="N1777" s="3"/>
      <c r="O1777" s="3"/>
      <c r="P1777" s="3"/>
      <c r="Q1777" s="3"/>
      <c r="R1777" s="3"/>
      <c r="S1777" s="3"/>
      <c r="T1777" s="3"/>
      <c r="U1777" s="3"/>
      <c r="V1777" s="3"/>
      <c r="W1777" s="3"/>
      <c r="X1777" s="3"/>
      <c r="Y1777" s="3"/>
    </row>
    <row r="1778">
      <c r="A1778" s="5"/>
      <c r="B1778" s="5"/>
      <c r="C1778" s="5"/>
      <c r="D1778" s="5"/>
      <c r="E1778" s="3"/>
      <c r="F1778" s="5"/>
      <c r="G1778" s="5"/>
      <c r="H1778" s="5"/>
      <c r="I1778" s="3"/>
      <c r="J1778" s="3"/>
      <c r="K1778" s="3"/>
      <c r="L1778" s="3"/>
      <c r="M1778" s="3"/>
      <c r="N1778" s="3"/>
      <c r="O1778" s="3"/>
      <c r="P1778" s="3"/>
      <c r="Q1778" s="3"/>
      <c r="R1778" s="3"/>
      <c r="S1778" s="3"/>
      <c r="T1778" s="3"/>
      <c r="U1778" s="3"/>
      <c r="V1778" s="3"/>
      <c r="W1778" s="3"/>
      <c r="X1778" s="3"/>
      <c r="Y1778" s="3"/>
    </row>
    <row r="1779">
      <c r="A1779" s="5"/>
      <c r="B1779" s="5"/>
      <c r="C1779" s="5"/>
      <c r="D1779" s="5"/>
      <c r="E1779" s="3"/>
      <c r="F1779" s="5"/>
      <c r="G1779" s="5"/>
      <c r="H1779" s="5"/>
      <c r="I1779" s="3"/>
      <c r="J1779" s="3"/>
      <c r="K1779" s="3"/>
      <c r="L1779" s="3"/>
      <c r="M1779" s="3"/>
      <c r="N1779" s="3"/>
      <c r="O1779" s="3"/>
      <c r="P1779" s="3"/>
      <c r="Q1779" s="3"/>
      <c r="R1779" s="3"/>
      <c r="S1779" s="3"/>
      <c r="T1779" s="3"/>
      <c r="U1779" s="3"/>
      <c r="V1779" s="3"/>
      <c r="W1779" s="3"/>
      <c r="X1779" s="3"/>
      <c r="Y1779" s="3"/>
    </row>
    <row r="1780">
      <c r="A1780" s="5"/>
      <c r="B1780" s="5"/>
      <c r="C1780" s="5"/>
      <c r="D1780" s="5"/>
      <c r="E1780" s="3"/>
      <c r="F1780" s="5"/>
      <c r="G1780" s="5"/>
      <c r="H1780" s="5"/>
      <c r="I1780" s="3"/>
      <c r="J1780" s="3"/>
      <c r="K1780" s="3"/>
      <c r="L1780" s="3"/>
      <c r="M1780" s="3"/>
      <c r="N1780" s="3"/>
      <c r="O1780" s="3"/>
      <c r="P1780" s="3"/>
      <c r="Q1780" s="3"/>
      <c r="R1780" s="3"/>
      <c r="S1780" s="3"/>
      <c r="T1780" s="3"/>
      <c r="U1780" s="3"/>
      <c r="V1780" s="3"/>
      <c r="W1780" s="3"/>
      <c r="X1780" s="3"/>
      <c r="Y1780" s="3"/>
    </row>
    <row r="1781">
      <c r="A1781" s="5"/>
      <c r="B1781" s="5"/>
      <c r="C1781" s="5"/>
      <c r="D1781" s="5"/>
      <c r="E1781" s="3"/>
      <c r="F1781" s="5"/>
      <c r="G1781" s="5"/>
      <c r="H1781" s="5"/>
      <c r="I1781" s="3"/>
      <c r="J1781" s="3"/>
      <c r="K1781" s="3"/>
      <c r="L1781" s="3"/>
      <c r="M1781" s="3"/>
      <c r="N1781" s="3"/>
      <c r="O1781" s="3"/>
      <c r="P1781" s="3"/>
      <c r="Q1781" s="3"/>
      <c r="R1781" s="3"/>
      <c r="S1781" s="3"/>
      <c r="T1781" s="3"/>
      <c r="U1781" s="3"/>
      <c r="V1781" s="3"/>
      <c r="W1781" s="3"/>
      <c r="X1781" s="3"/>
      <c r="Y1781" s="3"/>
    </row>
    <row r="1782">
      <c r="A1782" s="5"/>
      <c r="B1782" s="5"/>
      <c r="C1782" s="5"/>
      <c r="D1782" s="5"/>
      <c r="E1782" s="3"/>
      <c r="F1782" s="5"/>
      <c r="G1782" s="5"/>
      <c r="H1782" s="5"/>
      <c r="I1782" s="3"/>
      <c r="J1782" s="3"/>
      <c r="K1782" s="3"/>
      <c r="L1782" s="3"/>
      <c r="M1782" s="3"/>
      <c r="N1782" s="3"/>
      <c r="O1782" s="3"/>
      <c r="P1782" s="3"/>
      <c r="Q1782" s="3"/>
      <c r="R1782" s="3"/>
      <c r="S1782" s="3"/>
      <c r="T1782" s="3"/>
      <c r="U1782" s="3"/>
      <c r="V1782" s="3"/>
      <c r="W1782" s="3"/>
      <c r="X1782" s="3"/>
      <c r="Y1782" s="3"/>
    </row>
    <row r="1783">
      <c r="A1783" s="5"/>
      <c r="B1783" s="5"/>
      <c r="C1783" s="5"/>
      <c r="D1783" s="5"/>
      <c r="E1783" s="3"/>
      <c r="F1783" s="5"/>
      <c r="G1783" s="5"/>
      <c r="H1783" s="5"/>
      <c r="I1783" s="3"/>
      <c r="J1783" s="3"/>
      <c r="K1783" s="3"/>
      <c r="L1783" s="3"/>
      <c r="M1783" s="3"/>
      <c r="N1783" s="3"/>
      <c r="O1783" s="3"/>
      <c r="P1783" s="3"/>
      <c r="Q1783" s="3"/>
      <c r="R1783" s="3"/>
      <c r="S1783" s="3"/>
      <c r="T1783" s="3"/>
      <c r="U1783" s="3"/>
      <c r="V1783" s="3"/>
      <c r="W1783" s="3"/>
      <c r="X1783" s="3"/>
      <c r="Y1783" s="3"/>
    </row>
    <row r="1784">
      <c r="A1784" s="5"/>
      <c r="B1784" s="5"/>
      <c r="C1784" s="5"/>
      <c r="D1784" s="5"/>
      <c r="E1784" s="3"/>
      <c r="F1784" s="5"/>
      <c r="G1784" s="5"/>
      <c r="H1784" s="5"/>
      <c r="I1784" s="3"/>
      <c r="J1784" s="3"/>
      <c r="K1784" s="3"/>
      <c r="L1784" s="3"/>
      <c r="M1784" s="3"/>
      <c r="N1784" s="3"/>
      <c r="O1784" s="3"/>
      <c r="P1784" s="3"/>
      <c r="Q1784" s="3"/>
      <c r="R1784" s="3"/>
      <c r="S1784" s="3"/>
      <c r="T1784" s="3"/>
      <c r="U1784" s="3"/>
      <c r="V1784" s="3"/>
      <c r="W1784" s="3"/>
      <c r="X1784" s="3"/>
      <c r="Y1784" s="3"/>
    </row>
    <row r="1785">
      <c r="A1785" s="5"/>
      <c r="B1785" s="5"/>
      <c r="C1785" s="5"/>
      <c r="D1785" s="5"/>
      <c r="E1785" s="3"/>
      <c r="F1785" s="5"/>
      <c r="G1785" s="5"/>
      <c r="H1785" s="5"/>
      <c r="I1785" s="3"/>
      <c r="J1785" s="3"/>
      <c r="K1785" s="3"/>
      <c r="L1785" s="3"/>
      <c r="M1785" s="3"/>
      <c r="N1785" s="3"/>
      <c r="O1785" s="3"/>
      <c r="P1785" s="3"/>
      <c r="Q1785" s="3"/>
      <c r="R1785" s="3"/>
      <c r="S1785" s="3"/>
      <c r="T1785" s="3"/>
      <c r="U1785" s="3"/>
      <c r="V1785" s="3"/>
      <c r="W1785" s="3"/>
      <c r="X1785" s="3"/>
      <c r="Y1785" s="3"/>
    </row>
    <row r="1786">
      <c r="A1786" s="5"/>
      <c r="B1786" s="5"/>
      <c r="C1786" s="5"/>
      <c r="D1786" s="5"/>
      <c r="E1786" s="3"/>
      <c r="F1786" s="5"/>
      <c r="G1786" s="5"/>
      <c r="H1786" s="5"/>
      <c r="I1786" s="3"/>
      <c r="J1786" s="3"/>
      <c r="K1786" s="3"/>
      <c r="L1786" s="3"/>
      <c r="M1786" s="3"/>
      <c r="N1786" s="3"/>
      <c r="O1786" s="3"/>
      <c r="P1786" s="3"/>
      <c r="Q1786" s="3"/>
      <c r="R1786" s="3"/>
      <c r="S1786" s="3"/>
      <c r="T1786" s="3"/>
      <c r="U1786" s="3"/>
      <c r="V1786" s="3"/>
      <c r="W1786" s="3"/>
      <c r="X1786" s="3"/>
      <c r="Y1786" s="3"/>
    </row>
    <row r="1787">
      <c r="A1787" s="5"/>
      <c r="B1787" s="5"/>
      <c r="C1787" s="5"/>
      <c r="D1787" s="5"/>
      <c r="E1787" s="3"/>
      <c r="F1787" s="5"/>
      <c r="G1787" s="5"/>
      <c r="H1787" s="5"/>
      <c r="I1787" s="3"/>
      <c r="J1787" s="3"/>
      <c r="K1787" s="3"/>
      <c r="L1787" s="3"/>
      <c r="M1787" s="3"/>
      <c r="N1787" s="3"/>
      <c r="O1787" s="3"/>
      <c r="P1787" s="3"/>
      <c r="Q1787" s="3"/>
      <c r="R1787" s="3"/>
      <c r="S1787" s="3"/>
      <c r="T1787" s="3"/>
      <c r="U1787" s="3"/>
      <c r="V1787" s="3"/>
      <c r="W1787" s="3"/>
      <c r="X1787" s="3"/>
      <c r="Y1787" s="3"/>
    </row>
    <row r="1788">
      <c r="A1788" s="5"/>
      <c r="B1788" s="5"/>
      <c r="C1788" s="5"/>
      <c r="D1788" s="5"/>
      <c r="E1788" s="3"/>
      <c r="F1788" s="5"/>
      <c r="G1788" s="5"/>
      <c r="H1788" s="5"/>
      <c r="I1788" s="3"/>
      <c r="J1788" s="3"/>
      <c r="K1788" s="3"/>
      <c r="L1788" s="3"/>
      <c r="M1788" s="3"/>
      <c r="N1788" s="3"/>
      <c r="O1788" s="3"/>
      <c r="P1788" s="3"/>
      <c r="Q1788" s="3"/>
      <c r="R1788" s="3"/>
      <c r="S1788" s="3"/>
      <c r="T1788" s="3"/>
      <c r="U1788" s="3"/>
      <c r="V1788" s="3"/>
      <c r="W1788" s="3"/>
      <c r="X1788" s="3"/>
      <c r="Y1788" s="3"/>
    </row>
    <row r="1789">
      <c r="A1789" s="5"/>
      <c r="B1789" s="5"/>
      <c r="C1789" s="5"/>
      <c r="D1789" s="5"/>
      <c r="E1789" s="3"/>
      <c r="F1789" s="5"/>
      <c r="G1789" s="5"/>
      <c r="H1789" s="5"/>
      <c r="I1789" s="3"/>
      <c r="J1789" s="3"/>
      <c r="K1789" s="3"/>
      <c r="L1789" s="3"/>
      <c r="M1789" s="3"/>
      <c r="N1789" s="3"/>
      <c r="O1789" s="3"/>
      <c r="P1789" s="3"/>
      <c r="Q1789" s="3"/>
      <c r="R1789" s="3"/>
      <c r="S1789" s="3"/>
      <c r="T1789" s="3"/>
      <c r="U1789" s="3"/>
      <c r="V1789" s="3"/>
      <c r="W1789" s="3"/>
      <c r="X1789" s="3"/>
      <c r="Y1789" s="3"/>
    </row>
    <row r="1790">
      <c r="A1790" s="5"/>
      <c r="B1790" s="5"/>
      <c r="C1790" s="5"/>
      <c r="D1790" s="5"/>
      <c r="E1790" s="3"/>
      <c r="F1790" s="5"/>
      <c r="G1790" s="5"/>
      <c r="H1790" s="5"/>
      <c r="I1790" s="3"/>
      <c r="J1790" s="3"/>
      <c r="K1790" s="3"/>
      <c r="L1790" s="3"/>
      <c r="M1790" s="3"/>
      <c r="N1790" s="3"/>
      <c r="O1790" s="3"/>
      <c r="P1790" s="3"/>
      <c r="Q1790" s="3"/>
      <c r="R1790" s="3"/>
      <c r="S1790" s="3"/>
      <c r="T1790" s="3"/>
      <c r="U1790" s="3"/>
      <c r="V1790" s="3"/>
      <c r="W1790" s="3"/>
      <c r="X1790" s="3"/>
      <c r="Y1790" s="3"/>
    </row>
    <row r="1791">
      <c r="A1791" s="5"/>
      <c r="B1791" s="5"/>
      <c r="C1791" s="5"/>
      <c r="D1791" s="5"/>
      <c r="E1791" s="3"/>
      <c r="F1791" s="5"/>
      <c r="G1791" s="5"/>
      <c r="H1791" s="5"/>
      <c r="I1791" s="3"/>
      <c r="J1791" s="3"/>
      <c r="K1791" s="3"/>
      <c r="L1791" s="3"/>
      <c r="M1791" s="3"/>
      <c r="N1791" s="3"/>
      <c r="O1791" s="3"/>
      <c r="P1791" s="3"/>
      <c r="Q1791" s="3"/>
      <c r="R1791" s="3"/>
      <c r="S1791" s="3"/>
      <c r="T1791" s="3"/>
      <c r="U1791" s="3"/>
      <c r="V1791" s="3"/>
      <c r="W1791" s="3"/>
      <c r="X1791" s="3"/>
      <c r="Y1791" s="3"/>
    </row>
    <row r="1792">
      <c r="A1792" s="5"/>
      <c r="B1792" s="5"/>
      <c r="C1792" s="5"/>
      <c r="D1792" s="5"/>
      <c r="E1792" s="3"/>
      <c r="F1792" s="5"/>
      <c r="G1792" s="5"/>
      <c r="H1792" s="5"/>
      <c r="I1792" s="3"/>
      <c r="J1792" s="3"/>
      <c r="K1792" s="3"/>
      <c r="L1792" s="3"/>
      <c r="M1792" s="3"/>
      <c r="N1792" s="3"/>
      <c r="O1792" s="3"/>
      <c r="P1792" s="3"/>
      <c r="Q1792" s="3"/>
      <c r="R1792" s="3"/>
      <c r="S1792" s="3"/>
      <c r="T1792" s="3"/>
      <c r="U1792" s="3"/>
      <c r="V1792" s="3"/>
      <c r="W1792" s="3"/>
      <c r="X1792" s="3"/>
      <c r="Y1792" s="3"/>
    </row>
    <row r="1793">
      <c r="A1793" s="5"/>
      <c r="B1793" s="5"/>
      <c r="C1793" s="5"/>
      <c r="D1793" s="5"/>
      <c r="E1793" s="3"/>
      <c r="F1793" s="5"/>
      <c r="G1793" s="5"/>
      <c r="H1793" s="5"/>
      <c r="I1793" s="3"/>
      <c r="J1793" s="3"/>
      <c r="K1793" s="3"/>
      <c r="L1793" s="3"/>
      <c r="M1793" s="3"/>
      <c r="N1793" s="3"/>
      <c r="O1793" s="3"/>
      <c r="P1793" s="3"/>
      <c r="Q1793" s="3"/>
      <c r="R1793" s="3"/>
      <c r="S1793" s="3"/>
      <c r="T1793" s="3"/>
      <c r="U1793" s="3"/>
      <c r="V1793" s="3"/>
      <c r="W1793" s="3"/>
      <c r="X1793" s="3"/>
      <c r="Y1793" s="3"/>
    </row>
    <row r="1794">
      <c r="A1794" s="5"/>
      <c r="B1794" s="5"/>
      <c r="C1794" s="5"/>
      <c r="D1794" s="5"/>
      <c r="E1794" s="3"/>
      <c r="F1794" s="5"/>
      <c r="G1794" s="5"/>
      <c r="H1794" s="5"/>
      <c r="I1794" s="3"/>
      <c r="J1794" s="3"/>
      <c r="K1794" s="3"/>
      <c r="L1794" s="3"/>
      <c r="M1794" s="3"/>
      <c r="N1794" s="3"/>
      <c r="O1794" s="3"/>
      <c r="P1794" s="3"/>
      <c r="Q1794" s="3"/>
      <c r="R1794" s="3"/>
      <c r="S1794" s="3"/>
      <c r="T1794" s="3"/>
      <c r="U1794" s="3"/>
      <c r="V1794" s="3"/>
      <c r="W1794" s="3"/>
      <c r="X1794" s="3"/>
      <c r="Y1794" s="3"/>
    </row>
    <row r="1795">
      <c r="A1795" s="5"/>
      <c r="B1795" s="5"/>
      <c r="C1795" s="5"/>
      <c r="D1795" s="5"/>
      <c r="E1795" s="3"/>
      <c r="F1795" s="5"/>
      <c r="G1795" s="5"/>
      <c r="H1795" s="5"/>
      <c r="I1795" s="3"/>
      <c r="J1795" s="3"/>
      <c r="K1795" s="3"/>
      <c r="L1795" s="3"/>
      <c r="M1795" s="3"/>
      <c r="N1795" s="3"/>
      <c r="O1795" s="3"/>
      <c r="P1795" s="3"/>
      <c r="Q1795" s="3"/>
      <c r="R1795" s="3"/>
      <c r="S1795" s="3"/>
      <c r="T1795" s="3"/>
      <c r="U1795" s="3"/>
      <c r="V1795" s="3"/>
      <c r="W1795" s="3"/>
      <c r="X1795" s="3"/>
      <c r="Y1795" s="3"/>
    </row>
    <row r="1796">
      <c r="A1796" s="5"/>
      <c r="B1796" s="5"/>
      <c r="C1796" s="5"/>
      <c r="D1796" s="5"/>
      <c r="E1796" s="3"/>
      <c r="F1796" s="5"/>
      <c r="G1796" s="5"/>
      <c r="H1796" s="5"/>
      <c r="I1796" s="3"/>
      <c r="J1796" s="3"/>
      <c r="K1796" s="3"/>
      <c r="L1796" s="3"/>
      <c r="M1796" s="3"/>
      <c r="N1796" s="3"/>
      <c r="O1796" s="3"/>
      <c r="P1796" s="3"/>
      <c r="Q1796" s="3"/>
      <c r="R1796" s="3"/>
      <c r="S1796" s="3"/>
      <c r="T1796" s="3"/>
      <c r="U1796" s="3"/>
      <c r="V1796" s="3"/>
      <c r="W1796" s="3"/>
      <c r="X1796" s="3"/>
      <c r="Y1796" s="3"/>
    </row>
    <row r="1797">
      <c r="A1797" s="5"/>
      <c r="B1797" s="5"/>
      <c r="C1797" s="5"/>
      <c r="D1797" s="5"/>
      <c r="E1797" s="3"/>
      <c r="F1797" s="5"/>
      <c r="G1797" s="5"/>
      <c r="H1797" s="5"/>
      <c r="I1797" s="3"/>
      <c r="J1797" s="3"/>
      <c r="K1797" s="3"/>
      <c r="L1797" s="3"/>
      <c r="M1797" s="3"/>
      <c r="N1797" s="3"/>
      <c r="O1797" s="3"/>
      <c r="P1797" s="3"/>
      <c r="Q1797" s="3"/>
      <c r="R1797" s="3"/>
      <c r="S1797" s="3"/>
      <c r="T1797" s="3"/>
      <c r="U1797" s="3"/>
      <c r="V1797" s="3"/>
      <c r="W1797" s="3"/>
      <c r="X1797" s="3"/>
      <c r="Y1797" s="3"/>
    </row>
    <row r="1798">
      <c r="A1798" s="5"/>
      <c r="B1798" s="5"/>
      <c r="C1798" s="5"/>
      <c r="D1798" s="5"/>
      <c r="E1798" s="3"/>
      <c r="F1798" s="5"/>
      <c r="G1798" s="5"/>
      <c r="H1798" s="5"/>
      <c r="I1798" s="3"/>
      <c r="J1798" s="3"/>
      <c r="K1798" s="3"/>
      <c r="L1798" s="3"/>
      <c r="M1798" s="3"/>
      <c r="N1798" s="3"/>
      <c r="O1798" s="3"/>
      <c r="P1798" s="3"/>
      <c r="Q1798" s="3"/>
      <c r="R1798" s="3"/>
      <c r="S1798" s="3"/>
      <c r="T1798" s="3"/>
      <c r="U1798" s="3"/>
      <c r="V1798" s="3"/>
      <c r="W1798" s="3"/>
      <c r="X1798" s="3"/>
      <c r="Y1798" s="3"/>
    </row>
    <row r="1799">
      <c r="A1799" s="5"/>
      <c r="B1799" s="5"/>
      <c r="C1799" s="5"/>
      <c r="D1799" s="5"/>
      <c r="E1799" s="3"/>
      <c r="F1799" s="5"/>
      <c r="G1799" s="5"/>
      <c r="H1799" s="5"/>
      <c r="I1799" s="3"/>
      <c r="J1799" s="3"/>
      <c r="K1799" s="3"/>
      <c r="L1799" s="3"/>
      <c r="M1799" s="3"/>
      <c r="N1799" s="3"/>
      <c r="O1799" s="3"/>
      <c r="P1799" s="3"/>
      <c r="Q1799" s="3"/>
      <c r="R1799" s="3"/>
      <c r="S1799" s="3"/>
      <c r="T1799" s="3"/>
      <c r="U1799" s="3"/>
      <c r="V1799" s="3"/>
      <c r="W1799" s="3"/>
      <c r="X1799" s="3"/>
      <c r="Y1799" s="3"/>
    </row>
    <row r="1800">
      <c r="A1800" s="5"/>
      <c r="B1800" s="5"/>
      <c r="C1800" s="5"/>
      <c r="D1800" s="5"/>
      <c r="E1800" s="3"/>
      <c r="F1800" s="5"/>
      <c r="G1800" s="5"/>
      <c r="H1800" s="5"/>
      <c r="I1800" s="3"/>
      <c r="J1800" s="3"/>
      <c r="K1800" s="3"/>
      <c r="L1800" s="3"/>
      <c r="M1800" s="3"/>
      <c r="N1800" s="3"/>
      <c r="O1800" s="3"/>
      <c r="P1800" s="3"/>
      <c r="Q1800" s="3"/>
      <c r="R1800" s="3"/>
      <c r="S1800" s="3"/>
      <c r="T1800" s="3"/>
      <c r="U1800" s="3"/>
      <c r="V1800" s="3"/>
      <c r="W1800" s="3"/>
      <c r="X1800" s="3"/>
      <c r="Y1800" s="3"/>
    </row>
    <row r="1801">
      <c r="A1801" s="5"/>
      <c r="B1801" s="5"/>
      <c r="C1801" s="5"/>
      <c r="D1801" s="5"/>
      <c r="E1801" s="3"/>
      <c r="F1801" s="5"/>
      <c r="G1801" s="5"/>
      <c r="H1801" s="5"/>
      <c r="I1801" s="3"/>
      <c r="J1801" s="3"/>
      <c r="K1801" s="3"/>
      <c r="L1801" s="3"/>
      <c r="M1801" s="3"/>
      <c r="N1801" s="3"/>
      <c r="O1801" s="3"/>
      <c r="P1801" s="3"/>
      <c r="Q1801" s="3"/>
      <c r="R1801" s="3"/>
      <c r="S1801" s="3"/>
      <c r="T1801" s="3"/>
      <c r="U1801" s="3"/>
      <c r="V1801" s="3"/>
      <c r="W1801" s="3"/>
      <c r="X1801" s="3"/>
      <c r="Y1801" s="3"/>
    </row>
    <row r="1802">
      <c r="A1802" s="5"/>
      <c r="B1802" s="5"/>
      <c r="C1802" s="5"/>
      <c r="D1802" s="5"/>
      <c r="E1802" s="3"/>
      <c r="F1802" s="5"/>
      <c r="G1802" s="5"/>
      <c r="H1802" s="5"/>
      <c r="I1802" s="3"/>
      <c r="J1802" s="3"/>
      <c r="K1802" s="3"/>
      <c r="L1802" s="3"/>
      <c r="M1802" s="3"/>
      <c r="N1802" s="3"/>
      <c r="O1802" s="3"/>
      <c r="P1802" s="3"/>
      <c r="Q1802" s="3"/>
      <c r="R1802" s="3"/>
      <c r="S1802" s="3"/>
      <c r="T1802" s="3"/>
      <c r="U1802" s="3"/>
      <c r="V1802" s="3"/>
      <c r="W1802" s="3"/>
      <c r="X1802" s="3"/>
      <c r="Y1802" s="3"/>
    </row>
  </sheetData>
  <mergeCells count="1">
    <mergeCell ref="A1:K1"/>
  </mergeCells>
  <drawing r:id="rId1"/>
</worksheet>
</file>